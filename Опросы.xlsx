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5"/>
  </sheets>
  <definedNames>
    <definedName hidden="1" localSheetId="0" name="_xlnm._FilterDatabase">'Лист1'!$A$1:$AG$55</definedName>
  </definedNames>
  <calcPr/>
</workbook>
</file>

<file path=xl/sharedStrings.xml><?xml version="1.0" encoding="utf-8"?>
<sst xmlns="http://schemas.openxmlformats.org/spreadsheetml/2006/main" count="167" uniqueCount="153">
  <si>
    <t>№ 
п/п</t>
  </si>
  <si>
    <t>Клиент</t>
  </si>
  <si>
    <t>№ п/п</t>
  </si>
  <si>
    <t>дата 
1 опроса</t>
  </si>
  <si>
    <t>1 опрос</t>
  </si>
  <si>
    <t>дата 
2 опроса</t>
  </si>
  <si>
    <t>2 опрос</t>
  </si>
  <si>
    <t>дата 
3 опроса</t>
  </si>
  <si>
    <t>3 опрос</t>
  </si>
  <si>
    <t>Дорохина Злата</t>
  </si>
  <si>
    <t>Опрос направkен по WhatsApp 20.11.25 в 11:36.
[20.11.25 12:19] Андрей (Злата Дорохина 4г):Добрый день! Все понятно объяснили и ответили на все вопросы, со специалистами общаться комфорртоно, по записи так же все объяснили, знаем в какие дни принимает специалист, нам нравится работать с Дарьей, с ней работать очень комфортно</t>
  </si>
  <si>
    <t>Опрос направkен по WhatsApp 14.01.26 в 11:25.
По состоянию на 15.01.26 сообщение прочитано, ОС не прислал.
[19.01.26 11:05] Андрей (Злата Дорохина 4г: Занятия проходят хорошо, изменения мы замечаем, Злата стала больше общаться с нами, новые слова ей даются легче, запоминает быстрее, Дарья очень хороший специалист, нашла подход к Злате, все понятно объясняет, по поводу рекомендаций вашего центра, порекомендовали бы людям с такой же ситуацией как у нас!
Добрый день, извините, вотсап не отправил сразу сообщение, только сегодня увидел</t>
  </si>
  <si>
    <t>Таран Анна</t>
  </si>
  <si>
    <t>Опрос направkен по WhatsApp 20.11.25 в 11:26.
По состоянию на 21.11.25 сообщение доставлено, не прочитано.</t>
  </si>
  <si>
    <t>Опрос направkен по WhatsApp 15.01.26 в 10:32.
[15.01.26 13:39] Ольга (Анна Таран 3г): Здравствуйте, результата пока не вижу, специалистом довольна
[15.01.26 16:39] Лиза П. логопед: У мамы был запрос на постановку звуков. Но о постановке рано говорить, как выяснилось по рекомендациям Татьяны Васильевны по видео, поэтому я работаю над тонусом мышц, фон слухом. У ребенка уже лучше намного получается игла и дифференцировать с лопатой. Я думаю приступить к артикуляционным укладам, но не знаю с чего начать было бы правильнее.
В субботу хотела с этой девочкой видео записать Татьяне Васильевне
Просто я когда начала делать постановку, то ребенок не чувствовал язык, не понимал, как куда его поставить и соответственно было понятно, что рано для этого. И я стала отрабатывать тонус.
Вчера маме сказала, что уже намного лучше и вот сама думала попробовать в субботу артикуляционный уклад для [Ш]
Я бы хотела понять, как дальше продолжать работать с этим ребенком, так как есть сомнения
[15.01.26 17:10] РО5: Это вам надо уточнять либо у Буденной Т.В. либо у Зайчук (Колтуненко) И.С.</t>
  </si>
  <si>
    <t>Аллахвердови Алина</t>
  </si>
  <si>
    <t>Опрос направлен по WhatsApp 09.12.25 в 13:42.
По состоянию на 10.12.25 сообщение доставлено, не прочитано.</t>
  </si>
  <si>
    <t>Опрос направлен по WhatsApp 22.01.26 в 14:56.
По состоянию на 23.01.26 сообщение доставлено, не прочитано.</t>
  </si>
  <si>
    <t>Рыбников Владимир</t>
  </si>
  <si>
    <t>Опрос направлен по WhatsApp 14.01.26 в 14:49.
По состоянию на 15.01.26 сообщение доставлено, не прочитано.</t>
  </si>
  <si>
    <t>Пивоваров Максим</t>
  </si>
  <si>
    <t>Опрос направлен по WhatsApp 12.11.25 в 10:40.
По состоянию на 13.11.25 сообщение доставлено, не прочитано.</t>
  </si>
  <si>
    <t>Арутюнова Варвара</t>
  </si>
  <si>
    <t>Опрос направлен по WhaysApp 16.01.26 в 11:02.
[16.01.26 11:51] Анастасия (Варвара Арутюнова 3г): Здравствуйте, всё хорошо</t>
  </si>
  <si>
    <t>Гутор Максим</t>
  </si>
  <si>
    <t>Опрос направлен по WhatsApp 19.01.26 в 10:25.
[19.01.26 11:05] Катя (Максим Гутор 2г): Добрый день, да все консультации прошли хорошо, все специалисты дали развёрнутые ответы, нашли подход к моему сыну, на данный момент мы всем довольны и ходим с удовольствием</t>
  </si>
  <si>
    <t>Козакевич Татьяна</t>
  </si>
  <si>
    <t>Опрос направлен по WhatsApp 19.01.26 в 10:16.
По состоянию на 20.01.26 сообщение доставлено, не прочитано.</t>
  </si>
  <si>
    <t>Ищенко Мирон</t>
  </si>
  <si>
    <t>Опрос направлен по WhatsApp 28.01.26 в 10:29.
[28.01.26 13:32] Оксана (Мирон Ищенко 2г): Здравствуйте! Да, все отлично!!!</t>
  </si>
  <si>
    <t>Борцов Иван</t>
  </si>
  <si>
    <t>Опрос направлен по WhatsApp 09.01.26 в 13:07.
[10.01.26 19:30] Алина (Иван Борцов 4г): Наталья, добрый вечер!!! "Подсолнух" для нас это четвёртый логопедический центр куда я обратилась по поводу ЗРР своего ребёнка! Очень хочется, на Вас, скажем так...и задержаться!
Диагностика прошла хорошо, очень много моментов было подсвеченно специалистом! Рекомендации были даны, уже выполняем домашние задания! Про сенсорную интеграцию только Ваши специалисты знают, как оказалось! Жаль, что не обратилась сюда раньше ( Диана занятия по запуску речи провела отлично, хоть ребёнок и замыкался... Но это первое занятие только! София на сенсорной интеграции разъясняла многие моменты и также давала рекомендации и ДЗ для выполнения! Всё отлично!!! Жаль, только что БаК терапия у Вас только в центре находится, она нам тоже нужна, по рекомендации невролога!</t>
  </si>
  <si>
    <t>Пономарев Лев</t>
  </si>
  <si>
    <t>Опрос направлен по WhatsApp 15.01.26 в 10:48.
[1501.26 11:26] Виктория (Лев Пономарев 2г): Добрый день, встреча прошла хорошо. Получила ответы на все свои вопросы, рекомендации и направления в дальнейшей работе с развитием ребенка. Буду думать на счет занятий. Не совсем удобно местоположение вашего центра для нас, далеко так скажем.</t>
  </si>
  <si>
    <t>Габриелян Давид</t>
  </si>
  <si>
    <t>Опрос направлен в MAX 26.01.26 в 10:58.
По состоянию на 27.01.26 сообщение прочитано, ОС не прислала.</t>
  </si>
  <si>
    <t>Опрос направлен в MAX 27.02.26 в 11:21.
По состоянию на 02.03.26 сообщение прочитано, ОС не прислала.</t>
  </si>
  <si>
    <t>Свешникова София</t>
  </si>
  <si>
    <t>Опрос направлен по WhatsApp 21.01.26 в 11:32.
По состоянию на 22.01.26 сообщение доставлено, не прочитано.
Сообщение продублировано в MAX 22.01.26 в 11:26.
По состоянию на 23.01.26 сообщение отправлено, не доставлено.
WhatsApp [27.01.26 в 12:59] Юлия (София Свешникова 4г): Добрый день. Первое впечатление от логопеда положительное. Очень располагает к себе, ребенку она понравилась. Внимательно выслушала в комфортной обстановке, много записывала. Собираемся посещать ваш центр. Пока рано говорить о результатах. Время покажет.</t>
  </si>
  <si>
    <t>Мухомедова Милена</t>
  </si>
  <si>
    <t xml:space="preserve">Опрос направлен по WhatsApp 28.05.25 в 11:33.
[28.05.25 12:37] Марина мама Милены Мухомедовой 3г на все вопросы ответила «да»:
1. Администраторы оперативно отвечали по телефону или в мессенджере?
2. Администраторы вежливо и доброжелательно с Вами общались?
3. Полностью ли администраторы отвечали на Ваши вопросы?
4. Специалист понятно рассказала о том, что делать для решения вопроса, с которым Вы обратились?
5. Вы получили ответы на свои вопросы или рекомендации, которые можно применить?
6. Вам было комфортно при знакомстве?
7. У Вас осталось положительное впечатление от посещения центра?
Спасибо! И Вам хорошего дня!
[28.05.25 12:48] ЦР Подсолнух: Марина благодарю, что поделились своим мнением!
Приятно, что у Вас осталось положительное впечатление от посещения центра, на данный момент. Уверена и в дальнейшем при взаимодействии с персоналом центра тоже будет все в порядке, однако, если все-таки возникнет какая-либо ситуация недопонимания, экономьте, пожалуйста, свое время, пишите, присылайте аудио сообщение, звоните мне, и я оперативно включусь в решение сложившейся ситуации. Отличного Вам дня!
С уважением, заместитель руководителя ЦР «Подсолнух» по вопросам качества и сервиса
[28.05.25 14:48] Марина мама Милены Мухомедовой 3г:Спасибо большое за обратную связь и отзывчивость. Надеюсь все будет хорошо- вчера дочке очень понравилась преподаватель Евгения Михайловна что для меня много значит так как дочка очень чувствительна и избирательна.
[28.05.25 15:18] ЦР Подсолнух: Марина, спасибо огромное за такие тёплые слова!
Очень рада, что дочке понравилась Евгения Михайловна — она действительно чудесный человек, педагог с большим сердцем и компетентна в своем деле. Нам важно, чтобы с самого начала у ребёнка появилось ощущение, что рядом тот, кому можно доверять. Всё-таки доверие — это основа хорошего контакта, между педагогом и ребенком, можно сказать, его основа, а налаженный контакт — важная составляющая эффективной работы для получения нужного результата.
Вместе с вами мы делаем большое и важное дело — помогаем детям развиваться, учиться и расти в любви и поддержке! Если будут вопросы или пожелания — пишите, всегда на связи и с радостью помогу!
С уважением, заместитель руководителя ЦР «Подсолнух» по вопросам качества и сервиса
</t>
  </si>
  <si>
    <t>Опрос направлен по WhatsApp 23.09.25 в 10:14.
По состоянию на 24.09.25 сообщение доставлено, не прочитано.</t>
  </si>
  <si>
    <t>Опрос направлен по WhatsApp 27.01.26 в 12:36.
По состоянию на 28.01.26 сообщение доставлено, не прочитано.</t>
  </si>
  <si>
    <t>Нестеров Михаил</t>
  </si>
  <si>
    <t>24.03.22 в 12:39 не ответила, в 14:45 ответила: "Да, я там аб. купила, потому меня устроил ваш специалист. Мы обозначили наши точки соприкосновения, над чем будем работать, да. Ответы получила. Обслуживание администраторов понравилось, только вот мне хотелось бы , что бы если у вас два администратора работает, то хотя бы чтобы один находился за стойкой, чтобы не приходилось вашим специалистам бегать их искать.</t>
  </si>
  <si>
    <t>Опрос направлен по WhatsApp 17.02.25 в 12:02.
[17.02.25 12:21]: Наталья Владимировна мама Арины 6г и Михаила 4г. Нестеровых: Здравствуйте
1. Да, результаты работы видно. Переломный момент в развитии и динамику уже хорошо видно что у сына, что у дочери.
2. Да, порекомендую. 2.1. Ваш центр помогает в решении серьёзных проблем и очень приятно, что учитывают особенности нашей семьи в формировании и/или корректировки графиков занятий.
2.2.1 Наталья Викторовна ещё на первом замещении болеющего специалиста показала себя высококлассним специалистом. Она не оставляет с проблемой, она подробно рассказывает, как её решать своими силами дома. Ведь мы стараемся и дома поддерживать требования специалиста, и нам грамотно и доступно доносят как. Это крайне важно. Потому что интуитивно и бессистемно у нас не получилось решить проблемы.
2.2.2 с Натальей Петровной пока было мало занятий. Могу сказать, что мне рассказывают подробно, что было выполнено на занятии, с чем дочь справилась, какие задачи ставит специалист и что будет делать на следующих занятиях. Важно, что специалист чётко видит проблемные области и знает, что с ними делать. С ней я полностью согласна.
2.2.3 Алина Эсеналиевна добилась невероятного прорыва в занятиях с сыном. Я не могу выразить все те слова благодарности, что хочется ей сказать. Это колоссальная работа. Она переломила процесс, когда ребёнок категорически не понимал, что от него хотят, истерил и агрессивничал. Сейчас это небо и земля. Сын бежит на занятия, он понимает, что от него хотят, он выполняет задания. Это невероятно и я ей бесконечно благодарна
Ещё хочу отметить работу на замещении Алины специалиста Марии, она тоже очень высококлассный профессионал. После занятия с ней мы поняли, что нам не кажется, что сын повторяет слова. Спасибо и ей огромное!</t>
  </si>
  <si>
    <t>Опрос направлен в MAX 26.01.26 в 11:09.
[26.01.26 11:12] Наталья Владимировна мама Арины 6л. и Михаила 4г. Нестеровых: Здравствуйте, Мне очень нравится, что ваши специалисты находят индивидуальный подход и к нашим возможностям посещения ( нам удобно, чтобы двое деток занимались параллельно), и к самим деткам - они их слушают и слышат, соответственно, и результаты будут. Дают нам обратную связь, что делать конкретно дома.</t>
  </si>
  <si>
    <t>Нестерова Арина</t>
  </si>
  <si>
    <t>Туаев Алан</t>
  </si>
  <si>
    <t>Опрос направлен по WhatsApp 13.05.25 в 10:36.
По состоянию на 14.05.25 сообщение доставлено, не прочитано.</t>
  </si>
  <si>
    <t>Опрос направлен по WhatsApp 17.06.25 в 10:28.
По состоянию на 18.06.25 сообщение доставлено, не прочитано.</t>
  </si>
  <si>
    <t>Опрос направлен по WhatsApp 29.01.26 в 10:31.
По состоянию на 30.01.26 сообщение доставлено, не прочитано.</t>
  </si>
  <si>
    <t>Кривоус Тимофей</t>
  </si>
  <si>
    <t xml:space="preserve">Опрос направлен по WhatsApp 23.06.25 в 10:14.
[23.06.25 10:36] Дарья Игоревна мама Тимофея Кривоус 6л: Здравствуйте!
1. Да
2. ⁠да
3. ⁠да
4. ⁠да
5. ⁠да
6. ⁠да
7. ⁠да
</t>
  </si>
  <si>
    <t>Опрос направлен по WhatsApp 03.09.25 в 10:02.
[03.09.25 17:15] Дарья Игоревна (Тимофей Кривоус 6л): Добрый день!
1. Да, благодаря занятиям произошли большие изменения в моем ребенке.
2. ⁠Да, всё понятно
3. ⁠Порекомендовала
В опросе были направлены вопросы:
1. Замечаете ли Вы изменения от занятий?
2. Понятно ли объясняют материал специалисты?
3. Порекомендовали бы Вы специалистов своим знакомым?</t>
  </si>
  <si>
    <t>Опрос направлен по WhatsApp 21.01.26 в 11:55.
По состоянию на 22.01.26 сообщение доставлено, не прочитано.</t>
  </si>
  <si>
    <t>Секизян Сергей</t>
  </si>
  <si>
    <t>Опрос направлен по WhatsApp 24.03.25 в 11:26.
[24.03.25 11:29] Оксана мама Сергея Секизян 5л: Здравствуйте. Остались очень довольны. Спасибо большое, уже записались на новый приём.</t>
  </si>
  <si>
    <t>Опрос направлен по WhatsApp 14.08.25 в 12:39.
[14.08.25 13:32] Оксана мама Сергея Секизян 5л: Здравствуйте. Да, конечно, мы замечаем результаты и причём очень хорошие. Виктория Александровна нам очень нравится, она всё доходчиво объясняет. У нее очень приятный подход к Серёже, то есть она с ним нашла такой общий язык, что я же говорю мы до этого занимались с другим логопедом не у вас, а в другом месте, мы перестали к нему ходить, потому что он слышит только Викторию Александровну, то есть ему нравится с ней заниматься и нам нравится, то есть мне допустим, как маме. Я в общем довольна, она всегда чётко правильно объясняет, всё отлично, никаких вопросов, никаких претензий нет только одно - спасибо и уважение.</t>
  </si>
  <si>
    <t>Опрос направлен по WhatsApp 29.01.26 в 10:33.
По состоянию на 30.01.26 сообщение доставлено, не прочитано.</t>
  </si>
  <si>
    <t>Тажибаев Алим</t>
  </si>
  <si>
    <t>Опрос направлен по WhatsApp 23.09.25 в 10:19.
[23.09.25 12:58] Мара (Ренат 14л и Алим 3г Тажибаевы):⭐Ирина Николаевна нам очень понравилась. И хотела бы чтобы с моими деть занималась она. Может и другие специалисты отличные, но именно Ирина Николаевна оставила у меня хорошее впечатление.</t>
  </si>
  <si>
    <t>Опрос направлен по WhatsApp 02.02.26 в 10:22.
По состоянию на 03.02.26 сообщение прочитано, ОС не прислала.</t>
  </si>
  <si>
    <t>Тажибаев Ренат</t>
  </si>
  <si>
    <t>Борисов Платон</t>
  </si>
  <si>
    <t>Опрос направлен по WhatsАpp 02.02.26 в 10:15.
[02.02.26 17:42] Дарья (Платон Борисов 2г): Здравствуйте! Все прошло хорошо, было всё понятно</t>
  </si>
  <si>
    <t>Агададашов Амир</t>
  </si>
  <si>
    <t>Опрос направлен по WhatsApp 04.02.26 в 11:24.
По состоянию на 05.02.26 сообщение доставлено, не прочитано.</t>
  </si>
  <si>
    <t>Грановский Тимур</t>
  </si>
  <si>
    <t>Опрос направлен по WhatsApp 27.10.25 в 11:31.
По состоянию на 28.10.25 сообщение доставлено, не прочитано.</t>
  </si>
  <si>
    <t>Опрос направлен по WhatsApp 09.02.26 в 11:19.
[11:25, 09.02.2026] Ольга (Тимур Грановский 10л): Доброе утро.
Занятия у моего сына проходят по следующему сценарию: занятие с ребёнком и обратная связь от психолога для меня.
Наталья хорошо и доступно объясняет все (со слов ребёнка). Что касается обратной связи для меня, то всегда рассказывает, чем они занимались на занятиях, объяснит все тонкости и если есть вопросы, обязательно на них ответит.
Мне нравится этот специалист, она чуткая, добрая, у нее с первого занятия получилось расположить к себе ребёнка. Ребёнок спокойно и уверенно едет на занятия. Он доверяет специалисту. Для меня это хороший и важный показатель.
Я рекомендую данного специалиста.
[11:27, 09.02.2026] Ольга (Тимур Грановский 10л): Что касается динамики нашего запроса, то вопрос, с которым мы обратились достаточно сложный. И требуется время для его решения. Но уже могу сказать, что есть изменения в поведении ребёнка.</t>
  </si>
  <si>
    <t>Ванеев Артем</t>
  </si>
  <si>
    <t>Опрос направлен по MAX 05.02.26 в 10:33.
По состоянию на 05.02.26 сообщение прочитано, ОС не прислала.</t>
  </si>
  <si>
    <t>Трофименко Анна</t>
  </si>
  <si>
    <t>Опрос направлен по WhatsApp 09.02.26 в 11:14.
По состоянию на 09.02.26 сообщение доставлено, не прочитано.</t>
  </si>
  <si>
    <t>Ляпин Владимир</t>
  </si>
  <si>
    <t>Опрос направлен по WhatsApp 09.02.26 в 11:10.
По состоянию на 10.02.26 сообщение доставлено, не прочитано.</t>
  </si>
  <si>
    <t>Сефиханова Исмер</t>
  </si>
  <si>
    <t>Опрос направлен в MAX 10.02.26 в 10:00.
По состоянию на 11.02.26 сообщение прочитано, ОС не прислала.</t>
  </si>
  <si>
    <t>Чарпухян Артур</t>
  </si>
  <si>
    <t>Опрос направлен по WHatsApp 11.02.26 в 11:53.
Аудио сообщение [11.02.26 12:26] Асмик (Артур Чарпухян 4г): Добрый день. И Татьяна Васильевна и Ксения, и Диана очень доступно объяснили, поэтапно как нужно заниматься, как они будут заниматься чтобы добиваться результата у Артура. Или рассеянность это или капризы или манипуляция очень доступно, очень приятно объяснили и я всё поняла. Буду следить и выполнять их просьбы, чтобы совместно получился у нас нормальный результат.</t>
  </si>
  <si>
    <t>Турсинова Аиша</t>
  </si>
  <si>
    <t>Опрос направлен по WhatsApp 16.10.25 в 11:25.
По состоянию на 17.10.25 сообщение доставлено, не прочитано.</t>
  </si>
  <si>
    <t>Опрос направлен по WhatsApp 29.12.25 в 11:14.
По состоянию на 30.12.25 сообщение доставлено, не прочитано.</t>
  </si>
  <si>
    <t>Опрос направлен по WHatsApp 11.02.26 в 11:55.
[11.02.26 12:16] Вероника (Аиша Турсинова 3г): Добрый день! Нравится ежедневное напоминание о занятиях и преподаватели.</t>
  </si>
  <si>
    <t>Меликян Ангелина</t>
  </si>
  <si>
    <t>Опрос направлен по WhatsApp 12.02.26 в 11:26.
[12.02.26 13:29] Алина (не Ангелина) Меликян 27л: Добрый день) меня Алина зовут)
Все хорошо, все понравилось, все было понятно! )</t>
  </si>
  <si>
    <t>Мирошниченко Богдан</t>
  </si>
  <si>
    <t>Опрос направлен по WhatsApp 13.02.26 в 10:58.
По состоянию на 16.02.26 сообщение доставлено, не прочитано.</t>
  </si>
  <si>
    <t>Крылков Аскольд</t>
  </si>
  <si>
    <t>Опрос направлен по WhatsApp 13.02.26 в 10:54.
По состоянию на 16.02.26 сообщение доставлено, не прочитано.</t>
  </si>
  <si>
    <t>Ефремов Вячеслав</t>
  </si>
  <si>
    <t>Опрос направлен по WhatsApp 06.11.25 в 12:33.
[06.11.25 12:35] Светлана (Вячеслав Ефремов 2г): Здравствуйте. Все очень нравиться. Порекомендовали ваш центр друзьям</t>
  </si>
  <si>
    <t>Опрос направлен по WhatsApp 12.12.25 в 12:05.
По состоянию на 15.12.25 сообщение доставлено, не прочитано.</t>
  </si>
  <si>
    <t>Опрос направлен по WhatsApp 13.02.26 в 10:06.
По состоянию на 16.02.26 сообщение доставлено, не прочитано.</t>
  </si>
  <si>
    <t>Кочарян Майя</t>
  </si>
  <si>
    <t>Опрос направлен по WhatsApp 02.10.25 в 10:44.
[02.10.25 15:52] Владимир Айказович (Майя Кочарян 6л)^
1. 5 балов
2. ⁠профессионализм
3. ⁠нет, всё хорошо
4. ⁠да понятно (А)
5. ⁠да
В опросе были направлены вопросы:
1. Оцените, пожалуйста, диагностику по 5-балльной шкале (1 – совсем не понравилось, 5 – всё очень понравилось).
2. Что вам особенно понравилось в приёме?
3. Были ли моменты, которые вам не понравились или вызвали вопросы?
4. Понятны ли вам результаты диагностики и дальнейшие рекомендации?
A. Да, полностью
B. Частично
C. Нет, остались вопросы
5. Вы бы порекомендовали нашего специалиста другим?
A. Да
B. Скорее да
C. Скорее нет
D. Нет</t>
  </si>
  <si>
    <t>Опрос направлен по WhatsApp 24.11.25 в 11:49.
[24.11.25 11:55] Владимир Айказович (Майя Кочарян 6л):Добрый день ! Софа отличный специалист, нам очень нравится</t>
  </si>
  <si>
    <t>Опрос направлен по WhatsApp 16.02.26 в 10:55.
По состоянию на 16.02.26 сообщение прочитано, ОС не прислал.</t>
  </si>
  <si>
    <t>Салаев Мухаммед</t>
  </si>
  <si>
    <t>Опрос направлен по WhatsApp 13.02.26 в 10:51.
По состоянию на 16.02.26 сообщение доставлено, не прочитано.</t>
  </si>
  <si>
    <t>Оганесян Микаэл</t>
  </si>
  <si>
    <t>Опрос направлен по WhatsApp 27.10.25 в 11:27.
[27.10.25 11:50] Наира (Микаэл Оганесян 3г): Здравствуйте! Пока пройдено мало количество занятий. Ребенок и я только привыкаем к специалистам .По этому , тяжело дать ответ. Пока только могу сказать , что общение со специалистами и администратором комфортно. У них можно получить полноценные ответы на любые вопросы.</t>
  </si>
  <si>
    <t>Опрос направлен по WhatsApp 18.12.25 в 11:08.
[18.12.25 15:31] Наира (Микаэл Оганесян 3г): Здравствуйте! Да! Я вижу прогресс в понимании речи у ребенка. Ему очень нравятся занятия с Ксенией. Она все объясняет и дает рекомендации!</t>
  </si>
  <si>
    <t>Опрос направлен по WhatsApp 16.02.26 в 10:57.
По состоянию на 16.02.26 сообщение прочитано, ОС не прислала.</t>
  </si>
  <si>
    <t>Ходарева Ксения</t>
  </si>
  <si>
    <t>Опрос направлен по WhatsApp 11.08.25 в 11:05.
По состоянию на 12.08.25 сообщение доставлено, не прочитано.</t>
  </si>
  <si>
    <t>Опрос направлен по WhatsApp 25.09.25 в 12:12.
По состоянию на 26.09.25 сообщение доставлено, не прочитано.</t>
  </si>
  <si>
    <t>Опрос направлен по WhatsApp 16.02.26 в 10:53.
По состоянию на 17.02.26 сообщение доставлено, не прочитано.</t>
  </si>
  <si>
    <t>Николаенко Глеб</t>
  </si>
  <si>
    <t>Опрос направлен по WhatsApp 16.02.26 в 10:47.
По состоянию на 17.02.26 сообщение доставлено, не прочитано.</t>
  </si>
  <si>
    <t>Петикин Иван</t>
  </si>
  <si>
    <t>Опрос направлен по WhatsApp 17.11.25 в 11:45.
[17.11.25 12:00] Ольга (Иван Петикин 3г):Здравствуйте, честно я не пожалела, что решила записать сына в ваш центр, очень все нравится как отношение к ребенку, так и общение со специалистами, все понятно и по делу объясняют, я очень переживала как Ваня будет с новыми людьми себя вести, но он прям потянулся и я вижу как ему нравится там находиться, да он еще привыкает , но я уверена, что нам помогут и все будет хорошо! Спасибо большое, что есть такие люди которые знают , что делать и как помочь</t>
  </si>
  <si>
    <t>Опрос направлен по WhatsApp 16.02.26 в 10:51.
По состоянию на 17.02.26 сообщение доставлено, не прочитано.</t>
  </si>
  <si>
    <t>Криворот Тимур</t>
  </si>
  <si>
    <t>Опрос направлен по WhatsApp 17.02.26 в 12:09.
По состоянию на 18.02.26 сообщение доставлено, не прочитано.</t>
  </si>
  <si>
    <t>Власенко Мирослава</t>
  </si>
  <si>
    <t>Опрос направлен по WhatsApp 19.02.26 в 10:38.
[19.02.26 10:55] Анна (Мирослава Власенко 4г): Здравствуйте, всё было понятно, встреча была начата вовремя, общение с админом было удобным)</t>
  </si>
  <si>
    <t>Пшеницкий Марк</t>
  </si>
  <si>
    <t>Опрос напраdлен по WhatsApp 09.12.25 в 13:36.
По состоянию на 10.12.25 сообщение доставлено, не прочитано.</t>
  </si>
  <si>
    <t>Опрос направлен по WhatsApp 19.02.26 в 10:40.
По состоянию на 20.02.26 сообщение не доставлено.</t>
  </si>
  <si>
    <t>Скрипка Яна</t>
  </si>
  <si>
    <t>Опрос направлен по WhatsApp 21.04.25 в 10:42.
[21.04.25 12:42] Анна мама Яны Скрипка 15л: Здравствуйте, администратор вежлива, на звонки сразу отвечала, подобрала специалиста в удобное время, на все вопросы отвечали в развернутом виде, психолог очень хорошая, нашла сразу подход к дочери, предстоит большая работа, но уже после первого посещения дочери стало легче и это радует. Было комфортно меня выслушали не осуждали. Впечатления здоровские есть луч надежды, гармонии ! Спасибо</t>
  </si>
  <si>
    <t>Опрос направлен по WhatsApp 18.02.26 в 10:52.
По состоянию на 19.02.26 сообщение доставлено, не прочитано.</t>
  </si>
  <si>
    <t>Романов Максим</t>
  </si>
  <si>
    <t>Опрос направлен по WhatsApp 17.11.25 в 11:40.
[17.11.25 11:49] Александра (Максим Романов 3г): Добрый день. Да, нам всё понравилось, нам есть с чем сравнить. Всё понятно, рекомендации даны, специплисты располагают к себе и нет сомнений в их компетентности. Будем продолжать занятия.</t>
  </si>
  <si>
    <t>Опрос направлен по WhatsApp 25.02.26 в 11:11.
По состоянию на 26.02.26 сообщение прочитано, ОС не прислала.</t>
  </si>
  <si>
    <t>Карпов Иван</t>
  </si>
  <si>
    <t>Опрос направлен в MAX 24.02.26 в 11:33.
[24.02.26 11:38] Ирина (Иван Карпов 4г): Здравствуйте. Все прошло хорошо</t>
  </si>
  <si>
    <t>Пудеян Стефания</t>
  </si>
  <si>
    <t>Опрос направлен в MAX 23.02.26 в 11:31.
[23.02.26 11:42] Яна (Стефания Пудеян 2г): Добрый день. Все специалисты понравились, всё проходило максимально комфортно, ответили на все интересующие вопросы и дали рекомендации, остались только положительные эмоции, очень надеемся на результат</t>
  </si>
  <si>
    <t>Бадалян София</t>
  </si>
  <si>
    <t>Опрос направлен в MAX 23.02.26 в 11:38.
По состоянию на 24.02.26 сообщение доставлено, ОС не прислала.</t>
  </si>
  <si>
    <t>Частухина Ева</t>
  </si>
  <si>
    <t>Опрос направлен в MAX 23.02.26 в 12:06.
По состоянию на 24.02.26 сообщение доставлено, ОС не прислала.</t>
  </si>
  <si>
    <t>Эстамиров Родион</t>
  </si>
  <si>
    <t>Опрос направлен в MAX 25.02.26 в 11:22.
По состоянию на 26.02.26 сообщение доставлено, ОС не прислала.</t>
  </si>
  <si>
    <t>Микиртычьянц Михаил</t>
  </si>
  <si>
    <t>Опрос направлен в MAX 25.02.26 в 11:17.
[25.02.26 11:34] Лидия (Михаил Микиртычьянц 4г): Добрый день, с Натальей Петровной мы встречались один раз. Консультация прошла хорошо, меня все устроило, на все вопросы я получила ответы и осталась довольна консультацией. По поводу общения с администраторами все тоже хорошо.
Относительно первого занятия аба терапией 20.02 с Посидайло Дарьей: почему-то не прислали, составленную программу к первому занятия, хотя она уже была готова как мне говорили. Формат ознакомительного занятия прошел в хорошей атмосфере, но Дарья мне показалась не совсем уверенной в общении с Мишей, с ним нужно быть поувереннее и построже, потому как в противном случае результата не будет. Я хотела бы узнать про опыт Дарьи во взаимодействии со "сложными" детьми. Если это первый ребенок с такими сложностями, то я бы хотела заменить специалиста на более опытного.
В остальном все устраивает.
[25.02.26 12:33] ЦР Подсолнух: Лидия, благодарю за подробную обратную связь.
Программа к первому занятию действительно была подготовлена специалистом. Приношу извинения, что она не была направлена Вам вовремя - я уже уточняю детали ситуации, чтобы подобное не повторялось. Программу обязательно вышлем Вам в ближайшее время.
Дарья Олеговна имеет профильное образование и опыт работы с детьми с выраженными поведенческими и коммуникативными трудностями, в том числе со «сложными» случаями.
Что касается формата ознакомительного занятия: на первой встрече специалист часто использует более мягкую тактику, чтобы установить контакт с ребёнком и снизить тревожность. Это важный этап для дальнейшей эффективной работы. Более структурная и требовательная работа обычно начинается после формирования рабочего взаимодействия.
Если после нескольких занятий у Вас всё же сохранится ощущение, что специалист не подходит Михаилу, мы обязательно подберём другого. Для нас приоритет - результат ребёнка и Ваше спокойствие.
С уважением,заместитель руководителя ЦР «Подсолнух» по вопросам качества и сервиса
[25.02.26 12:36] Лидия (Михаил Микиртычьянц 4г): Благодарю за разъяснения, я поэтому и не уточняла сразу этот вопрос, потому как не хотела судить по первому занятию, так как оно было ознакомительное.
[25.02.26 12:39] ЦР Подсолнух: Лидия, благодарю Вас за понимание и взвешенный подход.
Если будут появляться вопросы, сомнения или пожелания - пожалуйста, пишите, я всегда на связи.
Хорошего Вам дня.
С уважением, заместитель руководителя ЦР «Подсолнух» по вопросам качества и сервиса
Даша П. сказала, что в карте не было Программы и ПКМ. ПКМ она запросила, а относительно программы подумала, что она еще не готова.
Жду ОС от:
Администратор ЦО:
- программа АВА лежала отдельно, не была своевременно вложена в карту клиента,
- отправлена программа АВА 25.02.26
НП по количеству встреч. Было проведено тестирование в рамках ПКМ.</t>
  </si>
  <si>
    <t>Нитутин Матвей</t>
  </si>
  <si>
    <t>Опрос направлен по WhatsApp 01.09.25 в 10:07.
По состоянию на 02.09.25 сообщение доставлено, не прочитано.
[02.09.25 22:24] Ирина (Матвей Нитутин 3г): 1. Да оперативно
2. Да
3. Да
4. Да
5. Да
6. Да
7. Да
При опросе были направлены вопросы:
1. Администраторы оперативно отвечали по телефону или в мессенджере?
2. Администраторы вежливо и доброжелательно с Вами общались?
3. Полностью ли администраторы отвечали на Ваши вопросы?
4. Специалисты понятно рассказали о том, что делать для решения вопроса, с которым Вы обратились?
5. Вы получили ответы на свои вопросы или рекомендации, которые можно применить?
6. Вам было комфортно при знакомстве?
7. У Вас осталось положительное впечатление от посещения центра, на данный момент?</t>
  </si>
  <si>
    <t>Опрос направлен по WhatsApp 24.10.25 в 10:11.
По состоянию на 27.10.25 сообщение прочитано, ОС не прислала.</t>
  </si>
  <si>
    <t>Опрос направлен по WhatsApp 24.02.26 в 11:35.
По состоянию на 25.02.26 сообщение прочитано, ОС не прислала.</t>
  </si>
  <si>
    <t>Ушаков Егор</t>
  </si>
  <si>
    <t>Опрос направлен в MAX 02.03.26 в 12:02.
[02.03.26 12:08] Татьяна (Егор Ушаков 3г): Здравствуйте, если вам удобно свяжитесь со мной по этому номеру я отвечу на ваши вопросы
Татьяна (Егор Ушаков 3г) сказала: что она думала, что это будет именно занятие, т.к. в другом месте куда они ходят отменили, и я думала просто посетить именно занятие, а получилось, что это была диагностика, при записи ей не сказали об этом. Получается были одни ожидания, а по факту получилось по-другому. Ну я понимаю, что диагностика тоже нужна, т.к. первый раз видит специалист ребенка и должна понять, что надо делать. Все понятно рассказала, тут вопросов никаких нет, однако, она сразу сказала, что у нее полное расписание и к ней записи сейчас нет. Зачем нас тогда записывать к специалисту, у которого нет для записи времени? Я много всего озвучивала и мен рекомендовали посетить психолога, дефектолога. Я так поняла, что у вас это разные специалисты, так? Просто куда мы сейчас ходим один специалист – логопед-дефектолог и еще АВА-терапист. У нас нет диагноза, но просто она считает, что ребенку нужны занятия АВА. А психолог и нейропсихолог это тоже разные у вас специалисты? Мои ожидания не соответствовали реальности, потому что по телефону мне не сказали, что первая встреча - диагностика, а не само занятие. Сам специалист понравилась, она даже провела встречу мин на 5-10 дольше, мы опоздали на 5 мин. все очень понятно рассказала, дала рекомендации.
Я: понимаю, что ваши ожидания были другими, и жаль, что это не было озвучено при записи. что у нас специалисты взаимозаменяемые по направлениям деятельности, делается это для того, чтобы не зависимо от обстоятельств специалиста процесс шел и не останавливался, поэтому то, что было на первой встрече с АЕМ она обязательно передаст тому, кто будет проводить занятия, если у нее не появится свободных окошек. у каждого специалиста свои цели, поэтому исходя из озвученных вами вопросов, которые вас беспокоят АЕМ и порекомендовала вам соответствующие консультации. что АВА занятия эффективны не только с детками, у которых диагнозы, но и в принципе, потому как это один из способов решения поведенческих проблем, и он работает и на нейротипичных детях и на взрослых.
Татьяна (Егор Ушаков 3г) сказала: что она будет думать пойдет к нам или продолжить занятия там куда ходя. Туда куда ходят им не удобно территориально, а у нее трое детей и везде надо успеть со всеми. Цены у вас выгоднее. Буду думать. Может вообще сейчас сделаю перерыв в занятиях.
Я: Татьяна спасибо, что поделились обратной связью. Понимаю с тремя детьми очень важно, чтобы всё было удобно и без лишних поездок. Для нас важно, чтобы формат был понятен с самого начала. Будем рады помочь Егору в комфортном режиме, когда вы примете решение.</t>
  </si>
  <si>
    <t>ИТОГО:</t>
  </si>
  <si>
    <t>04-30.01.26:</t>
  </si>
  <si>
    <t>ответили, из них:</t>
  </si>
  <si>
    <t>довольны</t>
  </si>
  <si>
    <t>не довольны, из них:</t>
  </si>
  <si>
    <t>улажено</t>
  </si>
  <si>
    <t>не ответили</t>
  </si>
  <si>
    <t>01-28.02.26:</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</si>
</sst>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
    <numFmt numFmtId="165" formatCode="dd.mm.yy"/>
  </numFmts>
  <fonts count="4">
    <font>
      <sz val="10.0"/>
      <color rgb="FF000000"/>
      <name val="Arial"/>
      <scheme val="minor"/>
    </font>
    <font>
      <sz val="6.0"/>
      <color theme="1"/>
      <name val="Arial"/>
      <scheme val="minor"/>
    </font>
    <font>
      <b/>
      <sz val="10.0"/>
      <color theme="1"/>
      <name val="Arial"/>
      <scheme val="minor"/>
    </font>
    <font>
      <sz val="10.0"/>
      <color theme="1"/>
      <name val="Arial"/>
      <scheme val="minor"/>
    </font>
  </fonts>
  <fills count="5">
    <fill>
      <patternFill patternType="none"/>
    </fill>
    <fill>
      <patternFill patternType="lightGray"/>
    </fill>
    <fill>
      <patternFill patternType="solid">
        <fgColor rgb="FFD9EAD3"/>
        <bgColor rgb="FFD9EAD3"/>
      </patternFill>
    </fill>
    <fill>
      <patternFill patternType="solid">
        <fgColor theme="0"/>
        <bgColor theme="0"/>
      </patternFill>
    </fill>
    <fill>
      <patternFill patternType="solid">
        <fgColor rgb="FFFFF2CC"/>
        <bgColor rgb="FFFFF2CC"/>
      </patternFill>
    </fill>
  </fills>
  <borders count="7">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1"/>
    </xf>
    <xf borderId="0" fillId="0" fontId="1" numFmtId="0" xfId="0" applyAlignment="1" applyFont="1">
      <alignment horizontal="left" shrinkToFit="0" vertical="top" wrapText="1"/>
    </xf>
    <xf borderId="0" fillId="0" fontId="1" numFmtId="164" xfId="0" applyAlignment="1" applyFont="1" applyNumberFormat="1">
      <alignment horizontal="left" readingOrder="0" shrinkToFit="0" vertical="top" wrapText="1"/>
    </xf>
    <xf borderId="0" fillId="2" fontId="1" numFmtId="0" xfId="0" applyAlignment="1" applyFill="1" applyFont="1">
      <alignment horizontal="left" readingOrder="0" shrinkToFit="0" vertical="top" wrapText="1"/>
    </xf>
    <xf borderId="0" fillId="0" fontId="1" numFmtId="165" xfId="0" applyAlignment="1" applyFont="1" applyNumberFormat="1">
      <alignment horizontal="left" readingOrder="0" shrinkToFit="0" vertical="top" wrapText="1"/>
    </xf>
    <xf borderId="0" fillId="3" fontId="1" numFmtId="0" xfId="0" applyAlignment="1" applyFill="1" applyFont="1">
      <alignment horizontal="left" readingOrder="0" shrinkToFit="0" vertical="top" wrapText="1"/>
    </xf>
    <xf borderId="0" fillId="2" fontId="1" numFmtId="0" xfId="0" applyAlignment="1" applyFont="1">
      <alignment readingOrder="0" shrinkToFit="0" wrapText="1"/>
    </xf>
    <xf borderId="0" fillId="3" fontId="2" numFmtId="0" xfId="0" applyAlignment="1" applyFont="1">
      <alignment horizontal="left" readingOrder="0" shrinkToFit="0" vertical="top" wrapText="1"/>
    </xf>
    <xf borderId="0" fillId="3" fontId="3" numFmtId="0" xfId="0" applyAlignment="1" applyFont="1">
      <alignment horizontal="left" shrinkToFit="0" vertical="top" wrapText="1"/>
    </xf>
    <xf borderId="1" fillId="4" fontId="2" numFmtId="0" xfId="0" applyAlignment="1" applyBorder="1" applyFill="1" applyFont="1">
      <alignment horizontal="left" readingOrder="0" shrinkToFit="0" vertical="top" wrapText="1"/>
    </xf>
    <xf borderId="1" fillId="4" fontId="3" numFmtId="0" xfId="0" applyAlignment="1" applyBorder="1" applyFont="1">
      <alignment horizontal="left" shrinkToFit="0" vertical="top" wrapText="1"/>
    </xf>
    <xf borderId="2" fillId="4" fontId="3" numFmtId="0" xfId="0" applyAlignment="1" applyBorder="1" applyFont="1">
      <alignment horizontal="left" shrinkToFit="0" vertical="top" wrapText="1"/>
    </xf>
    <xf borderId="3" fillId="4" fontId="3" numFmtId="0" xfId="0" applyAlignment="1" applyBorder="1" applyFont="1">
      <alignment horizontal="left" readingOrder="0" shrinkToFit="0" vertical="top" wrapText="1"/>
    </xf>
    <xf borderId="4" fillId="4" fontId="3" numFmtId="0" xfId="0" applyAlignment="1" applyBorder="1" applyFont="1">
      <alignment horizontal="left" readingOrder="0" shrinkToFit="0" vertical="top" wrapText="1"/>
    </xf>
    <xf borderId="4" fillId="4" fontId="3" numFmtId="1" xfId="0" applyAlignment="1" applyBorder="1" applyFont="1" applyNumberFormat="1">
      <alignment horizontal="left" shrinkToFit="0" vertical="top" wrapText="1"/>
    </xf>
    <xf borderId="4" fillId="4" fontId="3" numFmtId="0" xfId="0" applyAlignment="1" applyBorder="1" applyFont="1">
      <alignment horizontal="left" shrinkToFit="0" vertical="top" wrapText="1"/>
    </xf>
    <xf borderId="5" fillId="4" fontId="3" numFmtId="0" xfId="0" applyAlignment="1" applyBorder="1" applyFont="1">
      <alignment horizontal="left" readingOrder="0" shrinkToFit="0" vertical="top" wrapText="1"/>
    </xf>
    <xf borderId="6" fillId="4" fontId="3" numFmtId="0" xfId="0" applyAlignment="1" applyBorder="1" applyFont="1">
      <alignment horizontal="left" readingOrder="0" shrinkToFit="0" vertical="top" wrapText="1"/>
    </xf>
    <xf borderId="6" fillId="4" fontId="3" numFmtId="1" xfId="0" applyAlignment="1" applyBorder="1" applyFont="1" applyNumberFormat="1">
      <alignment horizontal="left" shrinkToFit="0" vertical="top" wrapText="1"/>
    </xf>
    <xf borderId="3" fillId="4" fontId="1" numFmtId="0" xfId="0" applyAlignment="1" applyBorder="1" applyFont="1">
      <alignment horizontal="left" shrinkToFit="0" vertical="top" wrapText="1"/>
    </xf>
    <xf borderId="5" fillId="4" fontId="1"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5"/>
    <col customWidth="1" min="2" max="2" width="18.88"/>
    <col customWidth="1" min="3" max="3" width="6.75"/>
    <col customWidth="1" min="4" max="4" width="9.63"/>
    <col customWidth="1" min="5" max="5" width="40.0"/>
    <col customWidth="1" min="6" max="6" width="7.13"/>
    <col customWidth="1" min="7" max="7" width="10.0"/>
    <col customWidth="1" min="8" max="8" width="39.63"/>
    <col customWidth="1" min="9" max="9" width="8.88"/>
    <col customWidth="1" min="10" max="10" width="10.0"/>
    <col customWidth="1" min="11" max="11" width="39.63"/>
  </cols>
  <sheetData>
    <row r="1">
      <c r="A1" s="1" t="s">
        <v>0</v>
      </c>
      <c r="B1" s="1" t="s">
        <v>1</v>
      </c>
      <c r="C1" s="1" t="s">
        <v>2</v>
      </c>
      <c r="D1" s="1" t="s">
        <v>3</v>
      </c>
      <c r="E1" s="1" t="s">
        <v>4</v>
      </c>
      <c r="F1" s="1" t="s">
        <v>2</v>
      </c>
      <c r="G1" s="1" t="s">
        <v>5</v>
      </c>
      <c r="H1" s="1" t="s">
        <v>6</v>
      </c>
      <c r="I1" s="1" t="s">
        <v>2</v>
      </c>
      <c r="J1" s="1" t="s">
        <v>7</v>
      </c>
      <c r="K1" s="1" t="s">
        <v>8</v>
      </c>
      <c r="L1" s="2"/>
      <c r="M1" s="2"/>
      <c r="N1" s="2"/>
      <c r="O1" s="2"/>
      <c r="P1" s="2"/>
      <c r="Q1" s="2"/>
      <c r="R1" s="2"/>
      <c r="S1" s="2"/>
      <c r="T1" s="2"/>
      <c r="U1" s="2"/>
      <c r="V1" s="2"/>
      <c r="W1" s="2"/>
      <c r="X1" s="2"/>
      <c r="Y1" s="2"/>
      <c r="Z1" s="2"/>
      <c r="AA1" s="2"/>
      <c r="AB1" s="2"/>
      <c r="AC1" s="2"/>
      <c r="AD1" s="2"/>
      <c r="AE1" s="2"/>
      <c r="AF1" s="2"/>
      <c r="AG1" s="2"/>
    </row>
    <row r="2">
      <c r="A2" s="1">
        <v>1.0</v>
      </c>
      <c r="B2" s="1" t="s">
        <v>9</v>
      </c>
      <c r="C2" s="3"/>
      <c r="D2" s="3">
        <v>45981.0</v>
      </c>
      <c r="E2" s="4" t="s">
        <v>10</v>
      </c>
      <c r="F2" s="1">
        <v>1.0</v>
      </c>
      <c r="G2" s="5">
        <v>46041.0</v>
      </c>
      <c r="H2" s="4" t="s">
        <v>11</v>
      </c>
      <c r="I2" s="2"/>
      <c r="J2" s="2"/>
      <c r="K2" s="2"/>
      <c r="L2" s="2"/>
      <c r="M2" s="2"/>
      <c r="N2" s="2"/>
      <c r="O2" s="2"/>
      <c r="P2" s="2"/>
      <c r="Q2" s="2"/>
      <c r="R2" s="2"/>
      <c r="S2" s="2"/>
      <c r="T2" s="2"/>
      <c r="U2" s="2"/>
      <c r="V2" s="2"/>
      <c r="W2" s="2"/>
      <c r="X2" s="2"/>
      <c r="Y2" s="2"/>
      <c r="Z2" s="2"/>
      <c r="AA2" s="2"/>
      <c r="AB2" s="2"/>
      <c r="AC2" s="2"/>
      <c r="AD2" s="2"/>
      <c r="AE2" s="2"/>
      <c r="AF2" s="2"/>
      <c r="AG2" s="2"/>
    </row>
    <row r="3">
      <c r="A3" s="2">
        <f t="shared" ref="A3:A55" si="1">A2+1</f>
        <v>2</v>
      </c>
      <c r="B3" s="1" t="s">
        <v>12</v>
      </c>
      <c r="C3" s="3"/>
      <c r="D3" s="3">
        <v>45981.0</v>
      </c>
      <c r="E3" s="1" t="s">
        <v>13</v>
      </c>
      <c r="F3" s="1">
        <v>1.0</v>
      </c>
      <c r="G3" s="5">
        <v>46037.0</v>
      </c>
      <c r="H3" s="4" t="s">
        <v>14</v>
      </c>
      <c r="I3" s="2"/>
      <c r="J3" s="2"/>
      <c r="K3" s="2"/>
      <c r="L3" s="2"/>
      <c r="M3" s="2"/>
      <c r="N3" s="2"/>
      <c r="O3" s="2"/>
      <c r="P3" s="2"/>
      <c r="Q3" s="2"/>
      <c r="R3" s="2"/>
      <c r="S3" s="2"/>
      <c r="T3" s="2"/>
      <c r="U3" s="2"/>
      <c r="V3" s="2"/>
      <c r="W3" s="2"/>
      <c r="X3" s="2"/>
      <c r="Y3" s="2"/>
      <c r="Z3" s="2"/>
      <c r="AA3" s="2"/>
      <c r="AB3" s="2"/>
      <c r="AC3" s="2"/>
      <c r="AD3" s="2"/>
      <c r="AE3" s="2"/>
      <c r="AF3" s="2"/>
      <c r="AG3" s="2"/>
    </row>
    <row r="4">
      <c r="A4" s="2">
        <f t="shared" si="1"/>
        <v>3</v>
      </c>
      <c r="B4" s="1" t="s">
        <v>15</v>
      </c>
      <c r="C4" s="3"/>
      <c r="D4" s="3">
        <v>46000.0</v>
      </c>
      <c r="E4" s="1" t="s">
        <v>16</v>
      </c>
      <c r="F4" s="1">
        <v>1.0</v>
      </c>
      <c r="G4" s="5">
        <v>46045.0</v>
      </c>
      <c r="H4" s="1" t="s">
        <v>17</v>
      </c>
      <c r="I4" s="2"/>
      <c r="J4" s="2"/>
      <c r="K4" s="2"/>
      <c r="L4" s="2"/>
      <c r="M4" s="2"/>
      <c r="N4" s="2"/>
      <c r="O4" s="2"/>
      <c r="P4" s="2"/>
      <c r="Q4" s="2"/>
      <c r="R4" s="2"/>
      <c r="S4" s="2"/>
      <c r="T4" s="2"/>
      <c r="U4" s="2"/>
      <c r="V4" s="2"/>
      <c r="W4" s="2"/>
      <c r="X4" s="2"/>
      <c r="Y4" s="2"/>
      <c r="Z4" s="2"/>
      <c r="AA4" s="2"/>
      <c r="AB4" s="2"/>
      <c r="AC4" s="2"/>
      <c r="AD4" s="2"/>
      <c r="AE4" s="2"/>
      <c r="AF4" s="2"/>
      <c r="AG4" s="2"/>
    </row>
    <row r="5">
      <c r="A5" s="2">
        <f t="shared" si="1"/>
        <v>4</v>
      </c>
      <c r="B5" s="1" t="s">
        <v>18</v>
      </c>
      <c r="C5" s="1">
        <v>1.0</v>
      </c>
      <c r="D5" s="5">
        <v>46036.0</v>
      </c>
      <c r="E5" s="1" t="s">
        <v>19</v>
      </c>
      <c r="F5" s="2"/>
      <c r="G5" s="2"/>
      <c r="H5" s="2"/>
      <c r="I5" s="2"/>
      <c r="J5" s="2"/>
      <c r="K5" s="2"/>
      <c r="L5" s="2"/>
      <c r="M5" s="2"/>
      <c r="N5" s="2"/>
      <c r="O5" s="2"/>
      <c r="P5" s="2"/>
      <c r="Q5" s="2"/>
      <c r="R5" s="2"/>
      <c r="S5" s="2"/>
      <c r="T5" s="2"/>
      <c r="U5" s="2"/>
      <c r="V5" s="2"/>
      <c r="W5" s="2"/>
      <c r="X5" s="2"/>
      <c r="Y5" s="2"/>
      <c r="Z5" s="2"/>
      <c r="AA5" s="2"/>
      <c r="AB5" s="2"/>
      <c r="AC5" s="2"/>
      <c r="AD5" s="2"/>
      <c r="AE5" s="2"/>
      <c r="AF5" s="2"/>
      <c r="AG5" s="2"/>
    </row>
    <row r="6">
      <c r="A6" s="2">
        <f t="shared" si="1"/>
        <v>5</v>
      </c>
      <c r="B6" s="1" t="s">
        <v>20</v>
      </c>
      <c r="C6" s="3"/>
      <c r="D6" s="3">
        <v>45973.0</v>
      </c>
      <c r="E6" s="1" t="s">
        <v>21</v>
      </c>
      <c r="F6" s="2"/>
      <c r="G6" s="2"/>
      <c r="H6" s="2"/>
      <c r="I6" s="2"/>
      <c r="J6" s="2"/>
      <c r="K6" s="2"/>
      <c r="L6" s="2"/>
      <c r="M6" s="2"/>
      <c r="N6" s="2"/>
      <c r="O6" s="2"/>
      <c r="P6" s="2"/>
      <c r="Q6" s="2"/>
      <c r="R6" s="2"/>
      <c r="S6" s="2"/>
      <c r="T6" s="2"/>
      <c r="U6" s="2"/>
      <c r="V6" s="2"/>
      <c r="W6" s="2"/>
      <c r="X6" s="2"/>
      <c r="Y6" s="2"/>
      <c r="Z6" s="2"/>
      <c r="AA6" s="2"/>
      <c r="AB6" s="2"/>
      <c r="AC6" s="2"/>
      <c r="AD6" s="2"/>
      <c r="AE6" s="2"/>
      <c r="AF6" s="2"/>
      <c r="AG6" s="2"/>
    </row>
    <row r="7">
      <c r="A7" s="2">
        <f t="shared" si="1"/>
        <v>6</v>
      </c>
      <c r="B7" s="1" t="s">
        <v>22</v>
      </c>
      <c r="C7" s="1">
        <v>1.0</v>
      </c>
      <c r="D7" s="5">
        <v>46038.0</v>
      </c>
      <c r="E7" s="4" t="s">
        <v>23</v>
      </c>
      <c r="F7" s="2"/>
      <c r="G7" s="2"/>
      <c r="H7" s="2"/>
      <c r="I7" s="2"/>
      <c r="J7" s="2"/>
      <c r="K7" s="2"/>
      <c r="L7" s="2"/>
      <c r="M7" s="2"/>
      <c r="N7" s="2"/>
      <c r="O7" s="2"/>
      <c r="P7" s="2"/>
      <c r="Q7" s="2"/>
      <c r="R7" s="2"/>
      <c r="S7" s="2"/>
      <c r="T7" s="2"/>
      <c r="U7" s="2"/>
      <c r="V7" s="2"/>
      <c r="W7" s="2"/>
      <c r="X7" s="2"/>
      <c r="Y7" s="2"/>
      <c r="Z7" s="2"/>
      <c r="AA7" s="2"/>
      <c r="AB7" s="2"/>
      <c r="AC7" s="2"/>
      <c r="AD7" s="2"/>
      <c r="AE7" s="2"/>
      <c r="AF7" s="2"/>
      <c r="AG7" s="2"/>
    </row>
    <row r="8">
      <c r="A8" s="2">
        <f t="shared" si="1"/>
        <v>7</v>
      </c>
      <c r="B8" s="1" t="s">
        <v>24</v>
      </c>
      <c r="C8" s="1">
        <v>1.0</v>
      </c>
      <c r="D8" s="5">
        <v>46041.0</v>
      </c>
      <c r="E8" s="4" t="s">
        <v>25</v>
      </c>
      <c r="F8" s="2"/>
      <c r="G8" s="2"/>
      <c r="H8" s="2"/>
      <c r="I8" s="2"/>
      <c r="J8" s="2"/>
      <c r="K8" s="2"/>
      <c r="L8" s="2"/>
      <c r="M8" s="2"/>
      <c r="N8" s="2"/>
      <c r="O8" s="2"/>
      <c r="P8" s="2"/>
      <c r="Q8" s="2"/>
      <c r="R8" s="2"/>
      <c r="S8" s="2"/>
      <c r="T8" s="2"/>
      <c r="U8" s="2"/>
      <c r="V8" s="2"/>
      <c r="W8" s="2"/>
      <c r="X8" s="2"/>
      <c r="Y8" s="2"/>
      <c r="Z8" s="2"/>
      <c r="AA8" s="2"/>
      <c r="AB8" s="2"/>
      <c r="AC8" s="2"/>
      <c r="AD8" s="2"/>
      <c r="AE8" s="2"/>
      <c r="AF8" s="2"/>
      <c r="AG8" s="2"/>
    </row>
    <row r="9">
      <c r="A9" s="2">
        <f t="shared" si="1"/>
        <v>8</v>
      </c>
      <c r="B9" s="1" t="s">
        <v>26</v>
      </c>
      <c r="C9" s="1">
        <v>1.0</v>
      </c>
      <c r="D9" s="5">
        <v>46041.0</v>
      </c>
      <c r="E9" s="1" t="s">
        <v>27</v>
      </c>
      <c r="F9" s="2"/>
      <c r="G9" s="2"/>
      <c r="H9" s="2"/>
      <c r="I9" s="2"/>
      <c r="J9" s="2"/>
      <c r="K9" s="2"/>
      <c r="L9" s="2"/>
      <c r="M9" s="2"/>
      <c r="N9" s="2"/>
      <c r="O9" s="2"/>
      <c r="P9" s="2"/>
      <c r="Q9" s="2"/>
      <c r="R9" s="2"/>
      <c r="S9" s="2"/>
      <c r="T9" s="2"/>
      <c r="U9" s="2"/>
      <c r="V9" s="2"/>
      <c r="W9" s="2"/>
      <c r="X9" s="2"/>
      <c r="Y9" s="2"/>
      <c r="Z9" s="2"/>
      <c r="AA9" s="2"/>
      <c r="AB9" s="2"/>
      <c r="AC9" s="2"/>
      <c r="AD9" s="2"/>
      <c r="AE9" s="2"/>
      <c r="AF9" s="2"/>
      <c r="AG9" s="2"/>
    </row>
    <row r="10">
      <c r="A10" s="2">
        <f t="shared" si="1"/>
        <v>9</v>
      </c>
      <c r="B10" s="1" t="s">
        <v>28</v>
      </c>
      <c r="C10" s="1">
        <v>1.0</v>
      </c>
      <c r="D10" s="5">
        <v>46050.0</v>
      </c>
      <c r="E10" s="4" t="s">
        <v>29</v>
      </c>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row>
    <row r="11">
      <c r="A11" s="2">
        <f t="shared" si="1"/>
        <v>10</v>
      </c>
      <c r="B11" s="1" t="s">
        <v>30</v>
      </c>
      <c r="C11" s="1">
        <v>1.0</v>
      </c>
      <c r="D11" s="5">
        <v>46031.0</v>
      </c>
      <c r="E11" s="4" t="s">
        <v>31</v>
      </c>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row>
    <row r="12">
      <c r="A12" s="2">
        <f t="shared" si="1"/>
        <v>11</v>
      </c>
      <c r="B12" s="1" t="s">
        <v>32</v>
      </c>
      <c r="C12" s="1">
        <v>1.0</v>
      </c>
      <c r="D12" s="5">
        <v>46037.0</v>
      </c>
      <c r="E12" s="4" t="s">
        <v>33</v>
      </c>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row>
    <row r="13">
      <c r="A13" s="2">
        <f t="shared" si="1"/>
        <v>12</v>
      </c>
      <c r="B13" s="1" t="s">
        <v>34</v>
      </c>
      <c r="C13" s="1">
        <v>1.0</v>
      </c>
      <c r="D13" s="5">
        <v>46049.0</v>
      </c>
      <c r="E13" s="1" t="s">
        <v>35</v>
      </c>
      <c r="F13" s="1">
        <v>2.0</v>
      </c>
      <c r="G13" s="5">
        <v>46080.0</v>
      </c>
      <c r="H13" s="1" t="s">
        <v>36</v>
      </c>
      <c r="I13" s="2"/>
      <c r="J13" s="2"/>
      <c r="K13" s="2"/>
      <c r="L13" s="2"/>
      <c r="M13" s="2"/>
      <c r="N13" s="2"/>
      <c r="O13" s="2"/>
      <c r="P13" s="2"/>
      <c r="Q13" s="2"/>
      <c r="R13" s="2"/>
      <c r="S13" s="2"/>
      <c r="T13" s="2"/>
      <c r="U13" s="2"/>
      <c r="V13" s="2"/>
      <c r="W13" s="2"/>
      <c r="X13" s="2"/>
      <c r="Y13" s="2"/>
      <c r="Z13" s="2"/>
      <c r="AA13" s="2"/>
      <c r="AB13" s="2"/>
      <c r="AC13" s="2"/>
      <c r="AD13" s="2"/>
      <c r="AE13" s="2"/>
      <c r="AF13" s="2"/>
      <c r="AG13" s="2"/>
    </row>
    <row r="14">
      <c r="A14" s="2">
        <f t="shared" si="1"/>
        <v>13</v>
      </c>
      <c r="B14" s="1" t="s">
        <v>37</v>
      </c>
      <c r="C14" s="1">
        <v>1.0</v>
      </c>
      <c r="D14" s="5">
        <v>46049.0</v>
      </c>
      <c r="E14" s="4" t="s">
        <v>38</v>
      </c>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row>
    <row r="15">
      <c r="A15" s="2">
        <f t="shared" si="1"/>
        <v>14</v>
      </c>
      <c r="B15" s="1" t="s">
        <v>39</v>
      </c>
      <c r="C15" s="5"/>
      <c r="D15" s="5">
        <v>45805.0</v>
      </c>
      <c r="E15" s="4" t="s">
        <v>40</v>
      </c>
      <c r="F15" s="5"/>
      <c r="G15" s="5">
        <v>45923.0</v>
      </c>
      <c r="H15" s="1" t="s">
        <v>41</v>
      </c>
      <c r="I15" s="1">
        <v>1.0</v>
      </c>
      <c r="J15" s="5">
        <v>46049.0</v>
      </c>
      <c r="K15" s="1" t="s">
        <v>42</v>
      </c>
      <c r="L15" s="2"/>
      <c r="M15" s="2"/>
      <c r="N15" s="2"/>
      <c r="O15" s="2"/>
      <c r="P15" s="2"/>
      <c r="Q15" s="2"/>
      <c r="R15" s="2"/>
      <c r="S15" s="2"/>
      <c r="T15" s="2"/>
      <c r="U15" s="2"/>
      <c r="V15" s="2"/>
      <c r="W15" s="2"/>
      <c r="X15" s="2"/>
      <c r="Y15" s="2"/>
      <c r="Z15" s="2"/>
      <c r="AA15" s="2"/>
      <c r="AB15" s="2"/>
      <c r="AC15" s="2"/>
      <c r="AD15" s="2"/>
      <c r="AE15" s="2"/>
      <c r="AF15" s="2"/>
      <c r="AG15" s="2"/>
    </row>
    <row r="16">
      <c r="A16" s="2">
        <f t="shared" si="1"/>
        <v>15</v>
      </c>
      <c r="B16" s="1" t="s">
        <v>43</v>
      </c>
      <c r="C16" s="5"/>
      <c r="D16" s="5">
        <v>44644.0</v>
      </c>
      <c r="E16" s="4" t="s">
        <v>44</v>
      </c>
      <c r="F16" s="5"/>
      <c r="G16" s="5">
        <v>45705.0</v>
      </c>
      <c r="H16" s="4" t="s">
        <v>45</v>
      </c>
      <c r="I16" s="1">
        <v>1.0</v>
      </c>
      <c r="J16" s="5">
        <v>46048.0</v>
      </c>
      <c r="K16" s="4" t="s">
        <v>46</v>
      </c>
      <c r="L16" s="2"/>
      <c r="M16" s="2"/>
      <c r="N16" s="2"/>
      <c r="O16" s="2"/>
      <c r="P16" s="2"/>
      <c r="Q16" s="2"/>
      <c r="R16" s="2"/>
      <c r="S16" s="2"/>
      <c r="T16" s="2"/>
      <c r="U16" s="2"/>
      <c r="V16" s="2"/>
      <c r="W16" s="2"/>
      <c r="X16" s="2"/>
      <c r="Y16" s="2"/>
      <c r="Z16" s="2"/>
      <c r="AA16" s="2"/>
      <c r="AB16" s="2"/>
      <c r="AC16" s="2"/>
      <c r="AD16" s="2"/>
      <c r="AE16" s="2"/>
      <c r="AF16" s="2"/>
      <c r="AG16" s="2"/>
    </row>
    <row r="17">
      <c r="A17" s="2">
        <f t="shared" si="1"/>
        <v>16</v>
      </c>
      <c r="B17" s="1" t="s">
        <v>47</v>
      </c>
      <c r="C17" s="5"/>
      <c r="D17" s="5">
        <v>44644.0</v>
      </c>
      <c r="E17" s="4" t="s">
        <v>44</v>
      </c>
      <c r="F17" s="5"/>
      <c r="G17" s="5">
        <v>45705.0</v>
      </c>
      <c r="H17" s="4" t="s">
        <v>45</v>
      </c>
      <c r="I17" s="1">
        <v>1.0</v>
      </c>
      <c r="J17" s="5">
        <v>46048.0</v>
      </c>
      <c r="K17" s="4" t="s">
        <v>46</v>
      </c>
      <c r="L17" s="2"/>
      <c r="M17" s="2"/>
      <c r="N17" s="2"/>
      <c r="O17" s="2"/>
      <c r="P17" s="2"/>
      <c r="Q17" s="2"/>
      <c r="R17" s="2"/>
      <c r="S17" s="2"/>
      <c r="T17" s="2"/>
      <c r="U17" s="2"/>
      <c r="V17" s="2"/>
      <c r="W17" s="2"/>
      <c r="X17" s="2"/>
      <c r="Y17" s="2"/>
      <c r="Z17" s="2"/>
      <c r="AA17" s="2"/>
      <c r="AB17" s="2"/>
      <c r="AC17" s="2"/>
      <c r="AD17" s="2"/>
      <c r="AE17" s="2"/>
      <c r="AF17" s="2"/>
      <c r="AG17" s="2"/>
    </row>
    <row r="18">
      <c r="A18" s="2">
        <f t="shared" si="1"/>
        <v>17</v>
      </c>
      <c r="B18" s="1" t="s">
        <v>48</v>
      </c>
      <c r="C18" s="5"/>
      <c r="D18" s="5">
        <v>45790.0</v>
      </c>
      <c r="E18" s="1" t="s">
        <v>49</v>
      </c>
      <c r="F18" s="5"/>
      <c r="G18" s="5">
        <v>45825.0</v>
      </c>
      <c r="H18" s="1" t="s">
        <v>50</v>
      </c>
      <c r="I18" s="1">
        <v>1.0</v>
      </c>
      <c r="J18" s="5">
        <v>46051.0</v>
      </c>
      <c r="K18" s="1" t="s">
        <v>51</v>
      </c>
      <c r="L18" s="2"/>
      <c r="M18" s="2"/>
      <c r="N18" s="2"/>
      <c r="O18" s="2"/>
      <c r="P18" s="2"/>
      <c r="Q18" s="2"/>
      <c r="R18" s="2"/>
      <c r="S18" s="2"/>
      <c r="T18" s="2"/>
      <c r="U18" s="2"/>
      <c r="V18" s="2"/>
      <c r="W18" s="2"/>
      <c r="X18" s="2"/>
      <c r="Y18" s="2"/>
      <c r="Z18" s="2"/>
      <c r="AA18" s="2"/>
      <c r="AB18" s="2"/>
      <c r="AC18" s="2"/>
      <c r="AD18" s="2"/>
      <c r="AE18" s="2"/>
      <c r="AF18" s="2"/>
      <c r="AG18" s="2"/>
    </row>
    <row r="19">
      <c r="A19" s="2">
        <f t="shared" si="1"/>
        <v>18</v>
      </c>
      <c r="B19" s="1" t="s">
        <v>52</v>
      </c>
      <c r="C19" s="5"/>
      <c r="D19" s="5">
        <v>45831.0</v>
      </c>
      <c r="E19" s="4" t="s">
        <v>53</v>
      </c>
      <c r="F19" s="5"/>
      <c r="G19" s="5">
        <v>45904.0</v>
      </c>
      <c r="H19" s="4" t="s">
        <v>54</v>
      </c>
      <c r="I19" s="1">
        <v>1.0</v>
      </c>
      <c r="J19" s="5">
        <v>46043.0</v>
      </c>
      <c r="K19" s="1" t="s">
        <v>55</v>
      </c>
      <c r="L19" s="2"/>
      <c r="M19" s="2"/>
      <c r="N19" s="2"/>
      <c r="O19" s="2"/>
      <c r="P19" s="2"/>
      <c r="Q19" s="2"/>
      <c r="R19" s="2"/>
      <c r="S19" s="2"/>
      <c r="T19" s="2"/>
      <c r="U19" s="2"/>
      <c r="V19" s="2"/>
      <c r="W19" s="2"/>
      <c r="X19" s="2"/>
      <c r="Y19" s="2"/>
      <c r="Z19" s="2"/>
      <c r="AA19" s="2"/>
      <c r="AB19" s="2"/>
      <c r="AC19" s="2"/>
      <c r="AD19" s="2"/>
      <c r="AE19" s="2"/>
      <c r="AF19" s="2"/>
      <c r="AG19" s="2"/>
    </row>
    <row r="20">
      <c r="A20" s="2">
        <f t="shared" si="1"/>
        <v>19</v>
      </c>
      <c r="B20" s="1" t="s">
        <v>56</v>
      </c>
      <c r="C20" s="5"/>
      <c r="D20" s="5">
        <v>45740.0</v>
      </c>
      <c r="E20" s="4" t="s">
        <v>57</v>
      </c>
      <c r="F20" s="5"/>
      <c r="G20" s="5">
        <v>45883.0</v>
      </c>
      <c r="H20" s="4" t="s">
        <v>58</v>
      </c>
      <c r="I20" s="1">
        <v>1.0</v>
      </c>
      <c r="J20" s="5">
        <v>46051.0</v>
      </c>
      <c r="K20" s="1" t="s">
        <v>59</v>
      </c>
      <c r="L20" s="2"/>
      <c r="M20" s="2"/>
      <c r="N20" s="2"/>
      <c r="O20" s="2"/>
      <c r="P20" s="2"/>
      <c r="Q20" s="2"/>
      <c r="R20" s="2"/>
      <c r="S20" s="2"/>
      <c r="T20" s="2"/>
      <c r="U20" s="2"/>
      <c r="V20" s="2"/>
      <c r="W20" s="2"/>
      <c r="X20" s="2"/>
      <c r="Y20" s="2"/>
      <c r="Z20" s="2"/>
      <c r="AA20" s="2"/>
      <c r="AB20" s="2"/>
      <c r="AC20" s="2"/>
      <c r="AD20" s="2"/>
      <c r="AE20" s="2"/>
      <c r="AF20" s="2"/>
      <c r="AG20" s="2"/>
    </row>
    <row r="21">
      <c r="A21" s="2">
        <f t="shared" si="1"/>
        <v>20</v>
      </c>
      <c r="B21" s="1" t="s">
        <v>60</v>
      </c>
      <c r="C21" s="5"/>
      <c r="D21" s="5">
        <v>45923.0</v>
      </c>
      <c r="E21" s="4" t="s">
        <v>61</v>
      </c>
      <c r="F21" s="1">
        <v>2.0</v>
      </c>
      <c r="G21" s="5">
        <v>46055.0</v>
      </c>
      <c r="H21" s="1" t="s">
        <v>62</v>
      </c>
      <c r="I21" s="2"/>
      <c r="J21" s="2"/>
      <c r="K21" s="2"/>
      <c r="L21" s="2"/>
      <c r="M21" s="2"/>
      <c r="N21" s="2"/>
      <c r="O21" s="2"/>
      <c r="P21" s="2"/>
      <c r="Q21" s="2"/>
      <c r="R21" s="2"/>
      <c r="S21" s="2"/>
      <c r="T21" s="2"/>
      <c r="U21" s="2"/>
      <c r="V21" s="2"/>
      <c r="W21" s="2"/>
      <c r="X21" s="2"/>
      <c r="Y21" s="2"/>
      <c r="Z21" s="2"/>
      <c r="AA21" s="2"/>
      <c r="AB21" s="2"/>
      <c r="AC21" s="2"/>
      <c r="AD21" s="2"/>
      <c r="AE21" s="2"/>
      <c r="AF21" s="2"/>
      <c r="AG21" s="2"/>
    </row>
    <row r="22">
      <c r="A22" s="2">
        <f t="shared" si="1"/>
        <v>21</v>
      </c>
      <c r="B22" s="1" t="s">
        <v>63</v>
      </c>
      <c r="C22" s="5"/>
      <c r="D22" s="5">
        <v>45923.0</v>
      </c>
      <c r="E22" s="4" t="s">
        <v>61</v>
      </c>
      <c r="F22" s="1">
        <v>2.0</v>
      </c>
      <c r="G22" s="5">
        <v>46055.0</v>
      </c>
      <c r="H22" s="1" t="s">
        <v>62</v>
      </c>
      <c r="I22" s="2"/>
      <c r="J22" s="2"/>
      <c r="K22" s="2"/>
      <c r="L22" s="2"/>
      <c r="M22" s="2"/>
      <c r="N22" s="2"/>
      <c r="O22" s="2"/>
      <c r="P22" s="2"/>
      <c r="Q22" s="2"/>
      <c r="R22" s="2"/>
      <c r="S22" s="2"/>
      <c r="T22" s="2"/>
      <c r="U22" s="2"/>
      <c r="V22" s="2"/>
      <c r="W22" s="2"/>
      <c r="X22" s="2"/>
      <c r="Y22" s="2"/>
      <c r="Z22" s="2"/>
      <c r="AA22" s="2"/>
      <c r="AB22" s="2"/>
      <c r="AC22" s="2"/>
      <c r="AD22" s="2"/>
      <c r="AE22" s="2"/>
      <c r="AF22" s="2"/>
      <c r="AG22" s="2"/>
    </row>
    <row r="23">
      <c r="A23" s="2">
        <f t="shared" si="1"/>
        <v>22</v>
      </c>
      <c r="B23" s="1" t="s">
        <v>64</v>
      </c>
      <c r="C23" s="1">
        <v>2.0</v>
      </c>
      <c r="D23" s="5">
        <v>46055.0</v>
      </c>
      <c r="E23" s="4" t="s">
        <v>65</v>
      </c>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row>
    <row r="24">
      <c r="A24" s="2">
        <f t="shared" si="1"/>
        <v>23</v>
      </c>
      <c r="B24" s="1" t="s">
        <v>66</v>
      </c>
      <c r="C24" s="1">
        <v>2.0</v>
      </c>
      <c r="D24" s="5">
        <v>46057.0</v>
      </c>
      <c r="E24" s="1" t="s">
        <v>67</v>
      </c>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row>
    <row r="25">
      <c r="A25" s="2">
        <f t="shared" si="1"/>
        <v>24</v>
      </c>
      <c r="B25" s="1" t="s">
        <v>68</v>
      </c>
      <c r="C25" s="5"/>
      <c r="D25" s="5">
        <v>45957.0</v>
      </c>
      <c r="E25" s="1" t="s">
        <v>69</v>
      </c>
      <c r="F25" s="1">
        <v>2.0</v>
      </c>
      <c r="G25" s="5">
        <v>46062.0</v>
      </c>
      <c r="H25" s="4" t="s">
        <v>70</v>
      </c>
      <c r="I25" s="2"/>
      <c r="J25" s="2"/>
      <c r="K25" s="2"/>
      <c r="L25" s="2"/>
      <c r="M25" s="2"/>
      <c r="N25" s="2"/>
      <c r="O25" s="2"/>
      <c r="P25" s="2"/>
      <c r="Q25" s="2"/>
      <c r="R25" s="2"/>
      <c r="S25" s="2"/>
      <c r="T25" s="2"/>
      <c r="U25" s="2"/>
      <c r="V25" s="2"/>
      <c r="W25" s="2"/>
      <c r="X25" s="2"/>
      <c r="Y25" s="2"/>
      <c r="Z25" s="2"/>
      <c r="AA25" s="2"/>
      <c r="AB25" s="2"/>
      <c r="AC25" s="2"/>
      <c r="AD25" s="2"/>
      <c r="AE25" s="2"/>
      <c r="AF25" s="2"/>
      <c r="AG25" s="2"/>
    </row>
    <row r="26">
      <c r="A26" s="2">
        <f t="shared" si="1"/>
        <v>25</v>
      </c>
      <c r="B26" s="1" t="s">
        <v>71</v>
      </c>
      <c r="C26" s="1">
        <v>2.0</v>
      </c>
      <c r="D26" s="5">
        <v>46058.0</v>
      </c>
      <c r="E26" s="6" t="s">
        <v>72</v>
      </c>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row>
    <row r="27">
      <c r="A27" s="2">
        <f t="shared" si="1"/>
        <v>26</v>
      </c>
      <c r="B27" s="1" t="s">
        <v>73</v>
      </c>
      <c r="C27" s="1">
        <v>2.0</v>
      </c>
      <c r="D27" s="5">
        <v>46062.0</v>
      </c>
      <c r="E27" s="1" t="s">
        <v>74</v>
      </c>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row>
    <row r="28">
      <c r="A28" s="2">
        <f t="shared" si="1"/>
        <v>27</v>
      </c>
      <c r="B28" s="1" t="s">
        <v>75</v>
      </c>
      <c r="C28" s="1">
        <v>2.0</v>
      </c>
      <c r="D28" s="5">
        <v>46062.0</v>
      </c>
      <c r="E28" s="1" t="s">
        <v>76</v>
      </c>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row>
    <row r="29">
      <c r="A29" s="2">
        <f t="shared" si="1"/>
        <v>28</v>
      </c>
      <c r="B29" s="1" t="s">
        <v>77</v>
      </c>
      <c r="C29" s="1">
        <v>2.0</v>
      </c>
      <c r="D29" s="5">
        <v>46064.0</v>
      </c>
      <c r="E29" s="1" t="s">
        <v>78</v>
      </c>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row>
    <row r="30">
      <c r="A30" s="2">
        <f t="shared" si="1"/>
        <v>29</v>
      </c>
      <c r="B30" s="1" t="s">
        <v>79</v>
      </c>
      <c r="C30" s="1">
        <v>2.0</v>
      </c>
      <c r="D30" s="5">
        <v>46064.0</v>
      </c>
      <c r="E30" s="4" t="s">
        <v>80</v>
      </c>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row>
    <row r="31">
      <c r="A31" s="2">
        <f t="shared" si="1"/>
        <v>30</v>
      </c>
      <c r="B31" s="1" t="s">
        <v>81</v>
      </c>
      <c r="C31" s="5"/>
      <c r="D31" s="5">
        <v>45946.0</v>
      </c>
      <c r="E31" s="1" t="s">
        <v>82</v>
      </c>
      <c r="F31" s="5"/>
      <c r="G31" s="5">
        <v>46020.0</v>
      </c>
      <c r="H31" s="1" t="s">
        <v>83</v>
      </c>
      <c r="I31" s="1">
        <v>2.0</v>
      </c>
      <c r="J31" s="5">
        <v>46064.0</v>
      </c>
      <c r="K31" s="4" t="s">
        <v>84</v>
      </c>
      <c r="L31" s="2"/>
      <c r="M31" s="2"/>
      <c r="N31" s="2"/>
      <c r="O31" s="2"/>
      <c r="P31" s="2"/>
      <c r="Q31" s="2"/>
      <c r="R31" s="2"/>
      <c r="S31" s="2"/>
      <c r="T31" s="2"/>
      <c r="U31" s="2"/>
      <c r="V31" s="2"/>
      <c r="W31" s="2"/>
      <c r="X31" s="2"/>
      <c r="Y31" s="2"/>
      <c r="Z31" s="2"/>
      <c r="AA31" s="2"/>
      <c r="AB31" s="2"/>
      <c r="AC31" s="2"/>
      <c r="AD31" s="2"/>
      <c r="AE31" s="2"/>
      <c r="AF31" s="2"/>
      <c r="AG31" s="2"/>
    </row>
    <row r="32">
      <c r="A32" s="2">
        <f t="shared" si="1"/>
        <v>31</v>
      </c>
      <c r="B32" s="1" t="s">
        <v>85</v>
      </c>
      <c r="C32" s="1">
        <v>2.0</v>
      </c>
      <c r="D32" s="5">
        <v>46065.0</v>
      </c>
      <c r="E32" s="4" t="s">
        <v>86</v>
      </c>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row>
    <row r="33">
      <c r="A33" s="2">
        <f t="shared" si="1"/>
        <v>32</v>
      </c>
      <c r="B33" s="1" t="s">
        <v>87</v>
      </c>
      <c r="C33" s="1">
        <v>2.0</v>
      </c>
      <c r="D33" s="5">
        <v>46066.0</v>
      </c>
      <c r="E33" s="1" t="s">
        <v>88</v>
      </c>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row>
    <row r="34">
      <c r="A34" s="2">
        <f t="shared" si="1"/>
        <v>33</v>
      </c>
      <c r="B34" s="1" t="s">
        <v>89</v>
      </c>
      <c r="C34" s="1">
        <v>2.0</v>
      </c>
      <c r="D34" s="5">
        <v>46066.0</v>
      </c>
      <c r="E34" s="1" t="s">
        <v>90</v>
      </c>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row>
    <row r="35">
      <c r="A35" s="2">
        <f t="shared" si="1"/>
        <v>34</v>
      </c>
      <c r="B35" s="1" t="s">
        <v>91</v>
      </c>
      <c r="C35" s="5"/>
      <c r="D35" s="5">
        <v>45967.0</v>
      </c>
      <c r="E35" s="4" t="s">
        <v>92</v>
      </c>
      <c r="F35" s="5"/>
      <c r="G35" s="5">
        <v>46003.0</v>
      </c>
      <c r="H35" s="1" t="s">
        <v>93</v>
      </c>
      <c r="I35" s="1">
        <v>2.0</v>
      </c>
      <c r="J35" s="5">
        <v>46066.0</v>
      </c>
      <c r="K35" s="1" t="s">
        <v>94</v>
      </c>
      <c r="L35" s="2"/>
      <c r="M35" s="2"/>
      <c r="N35" s="2"/>
      <c r="O35" s="2"/>
      <c r="P35" s="2"/>
      <c r="Q35" s="2"/>
      <c r="R35" s="2"/>
      <c r="S35" s="2"/>
      <c r="T35" s="2"/>
      <c r="U35" s="2"/>
      <c r="V35" s="2"/>
      <c r="W35" s="2"/>
      <c r="X35" s="2"/>
      <c r="Y35" s="2"/>
      <c r="Z35" s="2"/>
      <c r="AA35" s="2"/>
      <c r="AB35" s="2"/>
      <c r="AC35" s="2"/>
      <c r="AD35" s="2"/>
      <c r="AE35" s="2"/>
      <c r="AF35" s="2"/>
      <c r="AG35" s="2"/>
    </row>
    <row r="36">
      <c r="A36" s="2">
        <f t="shared" si="1"/>
        <v>35</v>
      </c>
      <c r="B36" s="1" t="s">
        <v>95</v>
      </c>
      <c r="C36" s="5"/>
      <c r="D36" s="5">
        <v>45932.0</v>
      </c>
      <c r="E36" s="4" t="s">
        <v>96</v>
      </c>
      <c r="F36" s="5"/>
      <c r="G36" s="5">
        <v>45985.0</v>
      </c>
      <c r="H36" s="4" t="s">
        <v>97</v>
      </c>
      <c r="I36" s="1">
        <v>2.0</v>
      </c>
      <c r="J36" s="5">
        <v>46069.0</v>
      </c>
      <c r="K36" s="1" t="s">
        <v>98</v>
      </c>
      <c r="L36" s="2"/>
      <c r="M36" s="2"/>
      <c r="N36" s="2"/>
      <c r="O36" s="2"/>
      <c r="P36" s="2"/>
      <c r="Q36" s="2"/>
      <c r="R36" s="2"/>
      <c r="S36" s="2"/>
      <c r="T36" s="2"/>
      <c r="U36" s="2"/>
      <c r="V36" s="2"/>
      <c r="W36" s="2"/>
      <c r="X36" s="2"/>
      <c r="Y36" s="2"/>
      <c r="Z36" s="2"/>
      <c r="AA36" s="2"/>
      <c r="AB36" s="2"/>
      <c r="AC36" s="2"/>
      <c r="AD36" s="2"/>
      <c r="AE36" s="2"/>
      <c r="AF36" s="2"/>
      <c r="AG36" s="2"/>
    </row>
    <row r="37">
      <c r="A37" s="2">
        <f t="shared" si="1"/>
        <v>36</v>
      </c>
      <c r="B37" s="1" t="s">
        <v>99</v>
      </c>
      <c r="C37" s="1">
        <v>2.0</v>
      </c>
      <c r="D37" s="5">
        <v>46066.0</v>
      </c>
      <c r="E37" s="1" t="s">
        <v>100</v>
      </c>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row>
    <row r="38">
      <c r="A38" s="2">
        <f t="shared" si="1"/>
        <v>37</v>
      </c>
      <c r="B38" s="1" t="s">
        <v>101</v>
      </c>
      <c r="C38" s="5"/>
      <c r="D38" s="5">
        <v>45957.0</v>
      </c>
      <c r="E38" s="4" t="s">
        <v>102</v>
      </c>
      <c r="F38" s="5"/>
      <c r="G38" s="5">
        <v>46009.0</v>
      </c>
      <c r="H38" s="4" t="s">
        <v>103</v>
      </c>
      <c r="I38" s="1">
        <v>2.0</v>
      </c>
      <c r="J38" s="5">
        <v>46069.0</v>
      </c>
      <c r="K38" s="1" t="s">
        <v>104</v>
      </c>
      <c r="L38" s="2"/>
      <c r="M38" s="2"/>
      <c r="N38" s="2"/>
      <c r="O38" s="2"/>
      <c r="P38" s="2"/>
      <c r="Q38" s="2"/>
      <c r="R38" s="2"/>
      <c r="S38" s="2"/>
      <c r="T38" s="2"/>
      <c r="U38" s="2"/>
      <c r="V38" s="2"/>
      <c r="W38" s="2"/>
      <c r="X38" s="2"/>
      <c r="Y38" s="2"/>
      <c r="Z38" s="2"/>
      <c r="AA38" s="2"/>
      <c r="AB38" s="2"/>
      <c r="AC38" s="2"/>
      <c r="AD38" s="2"/>
      <c r="AE38" s="2"/>
      <c r="AF38" s="2"/>
      <c r="AG38" s="2"/>
    </row>
    <row r="39">
      <c r="A39" s="2">
        <f t="shared" si="1"/>
        <v>38</v>
      </c>
      <c r="B39" s="1" t="s">
        <v>105</v>
      </c>
      <c r="C39" s="5"/>
      <c r="D39" s="5">
        <v>45880.0</v>
      </c>
      <c r="E39" s="1" t="s">
        <v>106</v>
      </c>
      <c r="F39" s="5"/>
      <c r="G39" s="5">
        <v>45925.0</v>
      </c>
      <c r="H39" s="1" t="s">
        <v>107</v>
      </c>
      <c r="I39" s="1">
        <v>2.0</v>
      </c>
      <c r="J39" s="5">
        <v>46069.0</v>
      </c>
      <c r="K39" s="1" t="s">
        <v>108</v>
      </c>
      <c r="L39" s="2"/>
      <c r="M39" s="2"/>
      <c r="N39" s="2"/>
      <c r="O39" s="2"/>
      <c r="P39" s="2"/>
      <c r="Q39" s="2"/>
      <c r="R39" s="2"/>
      <c r="S39" s="2"/>
      <c r="T39" s="2"/>
      <c r="U39" s="2"/>
      <c r="V39" s="2"/>
      <c r="W39" s="2"/>
      <c r="X39" s="2"/>
      <c r="Y39" s="2"/>
      <c r="Z39" s="2"/>
      <c r="AA39" s="2"/>
      <c r="AB39" s="2"/>
      <c r="AC39" s="2"/>
      <c r="AD39" s="2"/>
      <c r="AE39" s="2"/>
      <c r="AF39" s="2"/>
      <c r="AG39" s="2"/>
    </row>
    <row r="40">
      <c r="A40" s="2">
        <f t="shared" si="1"/>
        <v>39</v>
      </c>
      <c r="B40" s="1" t="s">
        <v>109</v>
      </c>
      <c r="C40" s="1">
        <v>2.0</v>
      </c>
      <c r="D40" s="5">
        <v>46069.0</v>
      </c>
      <c r="E40" s="1" t="s">
        <v>110</v>
      </c>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row>
    <row r="41">
      <c r="A41" s="2">
        <f t="shared" si="1"/>
        <v>40</v>
      </c>
      <c r="B41" s="1" t="s">
        <v>111</v>
      </c>
      <c r="C41" s="5"/>
      <c r="D41" s="5">
        <v>45978.0</v>
      </c>
      <c r="E41" s="7" t="s">
        <v>112</v>
      </c>
      <c r="F41" s="1">
        <v>2.0</v>
      </c>
      <c r="G41" s="5">
        <v>46069.0</v>
      </c>
      <c r="H41" s="1" t="s">
        <v>113</v>
      </c>
      <c r="I41" s="2"/>
      <c r="J41" s="2"/>
      <c r="K41" s="2"/>
      <c r="L41" s="2"/>
      <c r="M41" s="2"/>
      <c r="N41" s="2"/>
      <c r="O41" s="2"/>
      <c r="P41" s="2"/>
      <c r="Q41" s="2"/>
      <c r="R41" s="2"/>
      <c r="S41" s="2"/>
      <c r="T41" s="2"/>
      <c r="U41" s="2"/>
      <c r="V41" s="2"/>
      <c r="W41" s="2"/>
      <c r="X41" s="2"/>
      <c r="Y41" s="2"/>
      <c r="Z41" s="2"/>
      <c r="AA41" s="2"/>
      <c r="AB41" s="2"/>
      <c r="AC41" s="2"/>
      <c r="AD41" s="2"/>
      <c r="AE41" s="2"/>
      <c r="AF41" s="2"/>
      <c r="AG41" s="2"/>
    </row>
    <row r="42">
      <c r="A42" s="2">
        <f t="shared" si="1"/>
        <v>41</v>
      </c>
      <c r="B42" s="1" t="s">
        <v>114</v>
      </c>
      <c r="C42" s="1">
        <v>2.0</v>
      </c>
      <c r="D42" s="5">
        <v>46070.0</v>
      </c>
      <c r="E42" s="1" t="s">
        <v>115</v>
      </c>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row>
    <row r="43">
      <c r="A43" s="2">
        <f t="shared" si="1"/>
        <v>42</v>
      </c>
      <c r="B43" s="1" t="s">
        <v>116</v>
      </c>
      <c r="C43" s="1">
        <v>2.0</v>
      </c>
      <c r="D43" s="5">
        <v>46072.0</v>
      </c>
      <c r="E43" s="4" t="s">
        <v>117</v>
      </c>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row>
    <row r="44">
      <c r="A44" s="2">
        <f t="shared" si="1"/>
        <v>43</v>
      </c>
      <c r="B44" s="1" t="s">
        <v>118</v>
      </c>
      <c r="C44" s="5"/>
      <c r="D44" s="5">
        <v>46000.0</v>
      </c>
      <c r="E44" s="1" t="s">
        <v>119</v>
      </c>
      <c r="F44" s="1">
        <v>2.0</v>
      </c>
      <c r="G44" s="5">
        <v>46072.0</v>
      </c>
      <c r="H44" s="6" t="s">
        <v>120</v>
      </c>
      <c r="I44" s="2"/>
      <c r="J44" s="2"/>
      <c r="K44" s="2"/>
      <c r="L44" s="2"/>
      <c r="M44" s="2"/>
      <c r="N44" s="2"/>
      <c r="O44" s="2"/>
      <c r="P44" s="2"/>
      <c r="Q44" s="2"/>
      <c r="R44" s="2"/>
      <c r="S44" s="2"/>
      <c r="T44" s="2"/>
      <c r="U44" s="2"/>
      <c r="V44" s="2"/>
      <c r="W44" s="2"/>
      <c r="X44" s="2"/>
      <c r="Y44" s="2"/>
      <c r="Z44" s="2"/>
      <c r="AA44" s="2"/>
      <c r="AB44" s="2"/>
      <c r="AC44" s="2"/>
      <c r="AD44" s="2"/>
      <c r="AE44" s="2"/>
      <c r="AF44" s="2"/>
      <c r="AG44" s="2"/>
    </row>
    <row r="45">
      <c r="A45" s="2">
        <f t="shared" si="1"/>
        <v>44</v>
      </c>
      <c r="B45" s="1" t="s">
        <v>121</v>
      </c>
      <c r="C45" s="2"/>
      <c r="D45" s="5">
        <v>45768.0</v>
      </c>
      <c r="E45" s="1" t="s">
        <v>122</v>
      </c>
      <c r="F45" s="1">
        <v>2.0</v>
      </c>
      <c r="G45" s="5">
        <v>46071.0</v>
      </c>
      <c r="H45" s="1" t="s">
        <v>123</v>
      </c>
      <c r="I45" s="2"/>
      <c r="J45" s="2"/>
      <c r="K45" s="2"/>
      <c r="L45" s="2"/>
      <c r="M45" s="2"/>
      <c r="N45" s="2"/>
      <c r="O45" s="2"/>
      <c r="P45" s="2"/>
      <c r="Q45" s="2"/>
      <c r="R45" s="2"/>
      <c r="S45" s="2"/>
      <c r="T45" s="2"/>
      <c r="U45" s="2"/>
      <c r="V45" s="2"/>
      <c r="W45" s="2"/>
      <c r="X45" s="2"/>
      <c r="Y45" s="2"/>
      <c r="Z45" s="2"/>
      <c r="AA45" s="2"/>
      <c r="AB45" s="2"/>
      <c r="AC45" s="2"/>
      <c r="AD45" s="2"/>
      <c r="AE45" s="2"/>
      <c r="AF45" s="2"/>
      <c r="AG45" s="2"/>
    </row>
    <row r="46">
      <c r="A46" s="2">
        <f t="shared" si="1"/>
        <v>45</v>
      </c>
      <c r="B46" s="1" t="s">
        <v>116</v>
      </c>
      <c r="C46" s="1">
        <v>2.0</v>
      </c>
      <c r="D46" s="5">
        <v>46072.0</v>
      </c>
      <c r="E46" s="4" t="s">
        <v>117</v>
      </c>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row>
    <row r="47">
      <c r="A47" s="2">
        <f t="shared" si="1"/>
        <v>46</v>
      </c>
      <c r="B47" s="1" t="s">
        <v>124</v>
      </c>
      <c r="C47" s="2"/>
      <c r="D47" s="5">
        <v>45978.0</v>
      </c>
      <c r="E47" s="4" t="s">
        <v>125</v>
      </c>
      <c r="F47" s="1">
        <v>2.0</v>
      </c>
      <c r="G47" s="5">
        <v>46078.0</v>
      </c>
      <c r="H47" s="1" t="s">
        <v>126</v>
      </c>
      <c r="I47" s="2"/>
      <c r="J47" s="2"/>
      <c r="K47" s="2"/>
      <c r="L47" s="2"/>
      <c r="M47" s="2"/>
      <c r="N47" s="2"/>
      <c r="O47" s="2"/>
      <c r="P47" s="2"/>
      <c r="Q47" s="2"/>
      <c r="R47" s="2"/>
      <c r="S47" s="2"/>
      <c r="T47" s="2"/>
      <c r="U47" s="2"/>
      <c r="V47" s="2"/>
      <c r="W47" s="2"/>
      <c r="X47" s="2"/>
      <c r="Y47" s="2"/>
      <c r="Z47" s="2"/>
      <c r="AA47" s="2"/>
      <c r="AB47" s="2"/>
      <c r="AC47" s="2"/>
      <c r="AD47" s="2"/>
      <c r="AE47" s="2"/>
      <c r="AF47" s="2"/>
      <c r="AG47" s="2"/>
    </row>
    <row r="48">
      <c r="A48" s="2">
        <f t="shared" si="1"/>
        <v>47</v>
      </c>
      <c r="B48" s="1" t="s">
        <v>127</v>
      </c>
      <c r="C48" s="1">
        <v>2.0</v>
      </c>
      <c r="D48" s="5">
        <v>46077.0</v>
      </c>
      <c r="E48" s="4" t="s">
        <v>128</v>
      </c>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row>
    <row r="49">
      <c r="A49" s="2">
        <f t="shared" si="1"/>
        <v>48</v>
      </c>
      <c r="B49" s="1" t="s">
        <v>129</v>
      </c>
      <c r="C49" s="1">
        <v>2.0</v>
      </c>
      <c r="D49" s="5">
        <v>46076.0</v>
      </c>
      <c r="E49" s="4" t="s">
        <v>130</v>
      </c>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row>
    <row r="50">
      <c r="A50" s="2">
        <f t="shared" si="1"/>
        <v>49</v>
      </c>
      <c r="B50" s="1" t="s">
        <v>131</v>
      </c>
      <c r="C50" s="1">
        <v>2.0</v>
      </c>
      <c r="D50" s="5">
        <v>46076.0</v>
      </c>
      <c r="E50" s="1" t="s">
        <v>132</v>
      </c>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row>
    <row r="51">
      <c r="A51" s="2">
        <f t="shared" si="1"/>
        <v>50</v>
      </c>
      <c r="B51" s="1" t="s">
        <v>133</v>
      </c>
      <c r="C51" s="1">
        <v>2.0</v>
      </c>
      <c r="D51" s="5">
        <v>46076.0</v>
      </c>
      <c r="E51" s="1" t="s">
        <v>134</v>
      </c>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row>
    <row r="52">
      <c r="A52" s="2">
        <f t="shared" si="1"/>
        <v>51</v>
      </c>
      <c r="B52" s="1" t="s">
        <v>135</v>
      </c>
      <c r="C52" s="1">
        <v>2.0</v>
      </c>
      <c r="D52" s="5">
        <v>46078.0</v>
      </c>
      <c r="E52" s="1" t="s">
        <v>136</v>
      </c>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row>
    <row r="53">
      <c r="A53" s="2">
        <f t="shared" si="1"/>
        <v>52</v>
      </c>
      <c r="B53" s="1" t="s">
        <v>137</v>
      </c>
      <c r="C53" s="1">
        <v>2.0</v>
      </c>
      <c r="D53" s="5">
        <v>46078.0</v>
      </c>
      <c r="E53" s="4" t="s">
        <v>138</v>
      </c>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row>
    <row r="54">
      <c r="A54" s="2">
        <f t="shared" si="1"/>
        <v>53</v>
      </c>
      <c r="B54" s="1" t="s">
        <v>139</v>
      </c>
      <c r="C54" s="2"/>
      <c r="D54" s="5">
        <v>45901.0</v>
      </c>
      <c r="E54" s="4" t="s">
        <v>140</v>
      </c>
      <c r="F54" s="2"/>
      <c r="G54" s="5">
        <v>45954.0</v>
      </c>
      <c r="H54" s="1" t="s">
        <v>141</v>
      </c>
      <c r="I54" s="1">
        <v>2.0</v>
      </c>
      <c r="J54" s="5">
        <v>46077.0</v>
      </c>
      <c r="K54" s="1" t="s">
        <v>142</v>
      </c>
      <c r="L54" s="2"/>
      <c r="M54" s="2"/>
      <c r="N54" s="2"/>
      <c r="O54" s="2"/>
      <c r="P54" s="2"/>
      <c r="Q54" s="2"/>
      <c r="R54" s="2"/>
      <c r="S54" s="2"/>
      <c r="T54" s="2"/>
      <c r="U54" s="2"/>
      <c r="V54" s="2"/>
      <c r="W54" s="2"/>
      <c r="X54" s="2"/>
      <c r="Y54" s="2"/>
      <c r="Z54" s="2"/>
      <c r="AA54" s="2"/>
      <c r="AB54" s="2"/>
      <c r="AC54" s="2"/>
      <c r="AD54" s="2"/>
      <c r="AE54" s="2"/>
      <c r="AF54" s="2"/>
      <c r="AG54" s="2"/>
    </row>
    <row r="55">
      <c r="A55" s="2">
        <f t="shared" si="1"/>
        <v>54</v>
      </c>
      <c r="B55" s="1" t="s">
        <v>143</v>
      </c>
      <c r="C55" s="1">
        <v>3.0</v>
      </c>
      <c r="D55" s="5">
        <v>46083.0</v>
      </c>
      <c r="E55" s="4" t="s">
        <v>144</v>
      </c>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row>
    <row r="63">
      <c r="A63" s="2"/>
      <c r="B63" s="8" t="s">
        <v>145</v>
      </c>
      <c r="C63" s="9"/>
      <c r="D63" s="9"/>
      <c r="E63" s="9"/>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row>
    <row r="64">
      <c r="A64" s="1">
        <v>1.0</v>
      </c>
      <c r="B64" s="10" t="s">
        <v>146</v>
      </c>
      <c r="C64" s="11"/>
      <c r="D64" s="12">
        <f>(9+3+6)</f>
        <v>18</v>
      </c>
      <c r="E64" s="1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row>
    <row r="65">
      <c r="A65" s="2"/>
      <c r="B65" s="13" t="s">
        <v>147</v>
      </c>
      <c r="C65" s="13"/>
      <c r="D65" s="14">
        <f>(6+2+2)</f>
        <v>10</v>
      </c>
      <c r="E65" s="15">
        <f>D65*100/D64</f>
        <v>55.55555556</v>
      </c>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row>
    <row r="66">
      <c r="A66" s="2"/>
      <c r="B66" s="13" t="s">
        <v>148</v>
      </c>
      <c r="C66" s="13"/>
      <c r="D66" s="14">
        <v>10.0</v>
      </c>
      <c r="E66" s="16"/>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row>
    <row r="67">
      <c r="A67" s="2"/>
      <c r="B67" s="13" t="s">
        <v>149</v>
      </c>
      <c r="C67" s="13"/>
      <c r="D67" s="14">
        <v>0.0</v>
      </c>
      <c r="E67" s="16"/>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row>
    <row r="68">
      <c r="A68" s="2"/>
      <c r="B68" s="13" t="s">
        <v>150</v>
      </c>
      <c r="C68" s="13"/>
      <c r="D68" s="14">
        <v>0.0</v>
      </c>
      <c r="E68" s="16"/>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row>
    <row r="69">
      <c r="A69" s="2"/>
      <c r="B69" s="17" t="s">
        <v>151</v>
      </c>
      <c r="C69" s="17"/>
      <c r="D69" s="18">
        <f>(3+1+4)</f>
        <v>8</v>
      </c>
      <c r="E69" s="19">
        <f>D69*100/D64</f>
        <v>44.44444444</v>
      </c>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row>
    <row r="70">
      <c r="A70" s="1">
        <v>2.0</v>
      </c>
      <c r="B70" s="10" t="s">
        <v>152</v>
      </c>
      <c r="C70" s="20"/>
      <c r="D70" s="14">
        <f>21+8+6</f>
        <v>35</v>
      </c>
      <c r="E70" s="1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row>
    <row r="71">
      <c r="A71" s="2"/>
      <c r="B71" s="13" t="s">
        <v>147</v>
      </c>
      <c r="C71" s="20"/>
      <c r="D71" s="14">
        <f>8+1+1</f>
        <v>10</v>
      </c>
      <c r="E71" s="15">
        <f>D71*100/D70</f>
        <v>28.57142857</v>
      </c>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row>
    <row r="72">
      <c r="A72" s="2"/>
      <c r="B72" s="13" t="s">
        <v>148</v>
      </c>
      <c r="C72" s="20"/>
      <c r="D72" s="14">
        <f>7+1+1</f>
        <v>9</v>
      </c>
      <c r="E72" s="16"/>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row>
    <row r="73">
      <c r="A73" s="2"/>
      <c r="B73" s="13" t="s">
        <v>149</v>
      </c>
      <c r="C73" s="20"/>
      <c r="D73" s="14">
        <v>1.0</v>
      </c>
      <c r="E73" s="16"/>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row>
    <row r="74">
      <c r="A74" s="2"/>
      <c r="B74" s="13" t="s">
        <v>150</v>
      </c>
      <c r="C74" s="20"/>
      <c r="D74" s="14">
        <v>1.0</v>
      </c>
      <c r="E74" s="16"/>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row>
    <row r="75">
      <c r="A75" s="2"/>
      <c r="B75" s="17" t="s">
        <v>151</v>
      </c>
      <c r="C75" s="21"/>
      <c r="D75" s="18">
        <f>13+7+5</f>
        <v>25</v>
      </c>
      <c r="E75" s="19">
        <f>D75*100/D70</f>
        <v>71.42857143</v>
      </c>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c r="AE1002" s="2"/>
      <c r="AF1002" s="2"/>
      <c r="AG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c r="AD1003" s="2"/>
      <c r="AE1003" s="2"/>
      <c r="AF1003" s="2"/>
      <c r="AG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c r="AD1004" s="2"/>
      <c r="AE1004" s="2"/>
      <c r="AF1004" s="2"/>
      <c r="AG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c r="AD1005" s="2"/>
      <c r="AE1005" s="2"/>
      <c r="AF1005" s="2"/>
      <c r="AG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c r="AC1006" s="2"/>
      <c r="AD1006" s="2"/>
      <c r="AE1006" s="2"/>
      <c r="AF1006" s="2"/>
      <c r="AG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c r="AC1007" s="2"/>
      <c r="AD1007" s="2"/>
      <c r="AE1007" s="2"/>
      <c r="AF1007" s="2"/>
      <c r="AG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c r="AC1008" s="2"/>
      <c r="AD1008" s="2"/>
      <c r="AE1008" s="2"/>
      <c r="AF1008" s="2"/>
      <c r="AG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2"/>
      <c r="AC1009" s="2"/>
      <c r="AD1009" s="2"/>
      <c r="AE1009" s="2"/>
      <c r="AF1009" s="2"/>
      <c r="AG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2"/>
      <c r="AC1010" s="2"/>
      <c r="AD1010" s="2"/>
      <c r="AE1010" s="2"/>
      <c r="AF1010" s="2"/>
      <c r="AG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c r="AB1011" s="2"/>
      <c r="AC1011" s="2"/>
      <c r="AD1011" s="2"/>
      <c r="AE1011" s="2"/>
      <c r="AF1011" s="2"/>
      <c r="AG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c r="AB1012" s="2"/>
      <c r="AC1012" s="2"/>
      <c r="AD1012" s="2"/>
      <c r="AE1012" s="2"/>
      <c r="AF1012" s="2"/>
      <c r="AG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c r="AB1013" s="2"/>
      <c r="AC1013" s="2"/>
      <c r="AD1013" s="2"/>
      <c r="AE1013" s="2"/>
      <c r="AF1013" s="2"/>
      <c r="AG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c r="AB1014" s="2"/>
      <c r="AC1014" s="2"/>
      <c r="AD1014" s="2"/>
      <c r="AE1014" s="2"/>
      <c r="AF1014" s="2"/>
      <c r="AG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c r="AA1015" s="2"/>
      <c r="AB1015" s="2"/>
      <c r="AC1015" s="2"/>
      <c r="AD1015" s="2"/>
      <c r="AE1015" s="2"/>
      <c r="AF1015" s="2"/>
      <c r="AG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c r="AA1016" s="2"/>
      <c r="AB1016" s="2"/>
      <c r="AC1016" s="2"/>
      <c r="AD1016" s="2"/>
      <c r="AE1016" s="2"/>
      <c r="AF1016" s="2"/>
      <c r="AG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c r="AA1017" s="2"/>
      <c r="AB1017" s="2"/>
      <c r="AC1017" s="2"/>
      <c r="AD1017" s="2"/>
      <c r="AE1017" s="2"/>
      <c r="AF1017" s="2"/>
      <c r="AG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c r="AA1018" s="2"/>
      <c r="AB1018" s="2"/>
      <c r="AC1018" s="2"/>
      <c r="AD1018" s="2"/>
      <c r="AE1018" s="2"/>
      <c r="AF1018" s="2"/>
      <c r="AG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c r="AA1019" s="2"/>
      <c r="AB1019" s="2"/>
      <c r="AC1019" s="2"/>
      <c r="AD1019" s="2"/>
      <c r="AE1019" s="2"/>
      <c r="AF1019" s="2"/>
      <c r="AG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c r="AA1020" s="2"/>
      <c r="AB1020" s="2"/>
      <c r="AC1020" s="2"/>
      <c r="AD1020" s="2"/>
      <c r="AE1020" s="2"/>
      <c r="AF1020" s="2"/>
      <c r="AG1020" s="2"/>
    </row>
    <row r="102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c r="AA1021" s="2"/>
      <c r="AB1021" s="2"/>
      <c r="AC1021" s="2"/>
      <c r="AD1021" s="2"/>
      <c r="AE1021" s="2"/>
      <c r="AF1021" s="2"/>
      <c r="AG1021" s="2"/>
    </row>
    <row r="1022">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c r="AA1022" s="2"/>
      <c r="AB1022" s="2"/>
      <c r="AC1022" s="2"/>
      <c r="AD1022" s="2"/>
      <c r="AE1022" s="2"/>
      <c r="AF1022" s="2"/>
      <c r="AG1022" s="2"/>
    </row>
    <row r="1023">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c r="AA1023" s="2"/>
      <c r="AB1023" s="2"/>
      <c r="AC1023" s="2"/>
      <c r="AD1023" s="2"/>
      <c r="AE1023" s="2"/>
      <c r="AF1023" s="2"/>
      <c r="AG1023" s="2"/>
    </row>
    <row r="1024">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c r="AA1024" s="2"/>
      <c r="AB1024" s="2"/>
      <c r="AC1024" s="2"/>
      <c r="AD1024" s="2"/>
      <c r="AE1024" s="2"/>
      <c r="AF1024" s="2"/>
      <c r="AG1024" s="2"/>
    </row>
    <row r="102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c r="AA1025" s="2"/>
      <c r="AB1025" s="2"/>
      <c r="AC1025" s="2"/>
      <c r="AD1025" s="2"/>
      <c r="AE1025" s="2"/>
      <c r="AF1025" s="2"/>
      <c r="AG1025" s="2"/>
    </row>
    <row r="1026">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c r="AA1026" s="2"/>
      <c r="AB1026" s="2"/>
      <c r="AC1026" s="2"/>
      <c r="AD1026" s="2"/>
      <c r="AE1026" s="2"/>
      <c r="AF1026" s="2"/>
      <c r="AG1026" s="2"/>
    </row>
    <row r="1027">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c r="AA1027" s="2"/>
      <c r="AB1027" s="2"/>
      <c r="AC1027" s="2"/>
      <c r="AD1027" s="2"/>
      <c r="AE1027" s="2"/>
      <c r="AF1027" s="2"/>
      <c r="AG1027" s="2"/>
    </row>
    <row r="1028">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c r="AA1028" s="2"/>
      <c r="AB1028" s="2"/>
      <c r="AC1028" s="2"/>
      <c r="AD1028" s="2"/>
      <c r="AE1028" s="2"/>
      <c r="AF1028" s="2"/>
      <c r="AG1028" s="2"/>
    </row>
    <row r="1029">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c r="AA1029" s="2"/>
      <c r="AB1029" s="2"/>
      <c r="AC1029" s="2"/>
      <c r="AD1029" s="2"/>
      <c r="AE1029" s="2"/>
      <c r="AF1029" s="2"/>
      <c r="AG1029" s="2"/>
    </row>
    <row r="1030">
      <c r="A1030" s="2"/>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c r="AA1030" s="2"/>
      <c r="AB1030" s="2"/>
      <c r="AC1030" s="2"/>
      <c r="AD1030" s="2"/>
      <c r="AE1030" s="2"/>
      <c r="AF1030" s="2"/>
      <c r="AG1030" s="2"/>
    </row>
    <row r="1031">
      <c r="A1031" s="2"/>
      <c r="B1031" s="2"/>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2"/>
      <c r="AA1031" s="2"/>
      <c r="AB1031" s="2"/>
      <c r="AC1031" s="2"/>
      <c r="AD1031" s="2"/>
      <c r="AE1031" s="2"/>
      <c r="AF1031" s="2"/>
      <c r="AG1031" s="2"/>
    </row>
    <row r="1032">
      <c r="A1032" s="2"/>
      <c r="B1032" s="2"/>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2"/>
      <c r="AA1032" s="2"/>
      <c r="AB1032" s="2"/>
      <c r="AC1032" s="2"/>
      <c r="AD1032" s="2"/>
      <c r="AE1032" s="2"/>
      <c r="AF1032" s="2"/>
      <c r="AG1032" s="2"/>
    </row>
  </sheetData>
  <autoFilter ref="$A$1:$AG$55"/>
  <drawing r:id="rId1"/>
</worksheet>
</file>